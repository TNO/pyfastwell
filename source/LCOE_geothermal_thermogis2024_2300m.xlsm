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esjdamv\PycharmProjects\python-geothermal-costmodel\docs\source\"/>
    </mc:Choice>
  </mc:AlternateContent>
  <xr:revisionPtr revIDLastSave="0" documentId="13_ncr:1_{ABFAE182-8190-4437-B2E9-1FB92F6EE6E3}" xr6:coauthVersionLast="47" xr6:coauthVersionMax="47" xr10:uidLastSave="{00000000-0000-0000-0000-000000000000}"/>
  <bookViews>
    <workbookView xWindow="42630" yWindow="5730" windowWidth="28800" windowHeight="14595" activeTab="1" xr2:uid="{00000000-000D-0000-FFFF-FFFF00000000}"/>
  </bookViews>
  <sheets>
    <sheet name="Colofon" sheetId="9" r:id="rId1"/>
    <sheet name="Input_Output" sheetId="14" r:id="rId2"/>
    <sheet name="Sheet1" sheetId="17" r:id="rId3"/>
    <sheet name="CFpower" sheetId="15" r:id="rId4"/>
    <sheet name="CFheat" sheetId="16" r:id="rId5"/>
  </sheets>
  <functionGroups builtInGroupCount="19"/>
  <definedNames>
    <definedName name="capex_power">Input_Output!$D$41</definedName>
    <definedName name="capex_subsurface">Input_Output!$D$22</definedName>
    <definedName name="chiller_parasitic">Input_Output!$K$20</definedName>
    <definedName name="coheat_feedin">Input_Output!$D$63</definedName>
    <definedName name="coheatloadhours">Input_Output!$D$50</definedName>
    <definedName name="contigency">Input_Output!$D$65</definedName>
    <definedName name="cop">Input_Output!$D$25</definedName>
    <definedName name="Cprock">Input_Output!#REF!</definedName>
    <definedName name="Cpwater">Input_Output!$K$6</definedName>
    <definedName name="debt_share">Input_Output!$D$70</definedName>
    <definedName name="depreciation_time">Input_Output!$D$74</definedName>
    <definedName name="depth">Input_Output!$D$9</definedName>
    <definedName name="DistanceToGrid">Input_Output!$D$38</definedName>
    <definedName name="DrillCosts">Input_Output!$D$18</definedName>
    <definedName name="Efficiency">Input_Output!$K$16</definedName>
    <definedName name="efficiencydirectheat">Input_Output!$K$19</definedName>
    <definedName name="electricity_buy">Input_Output!$D$26</definedName>
    <definedName name="equity_return">Input_Output!$D$68</definedName>
    <definedName name="equity_share">Input_Output!$D$69</definedName>
    <definedName name="etaESP">Input_Output!$K$10</definedName>
    <definedName name="existingwell">Input_Output!$G$3</definedName>
    <definedName name="fiscal_benefit">Input_Output!#REF!</definedName>
    <definedName name="fiscal_stimulus">Input_Output!#REF!</definedName>
    <definedName name="fixedOMrate">Input_Output!$D$43</definedName>
    <definedName name="flowrate">Input_Output!$D$6</definedName>
    <definedName name="GridConVar">Input_Output!$D$40</definedName>
    <definedName name="GridInvest">Input_Output!$D$39</definedName>
    <definedName name="heat_capex">Input_Output!$D$53</definedName>
    <definedName name="heat_mwth">Input_Output!$D$48</definedName>
    <definedName name="heat_mwthgross">Input_Output!$D$47</definedName>
    <definedName name="heat_OMfixed">Input_Output!$D$56</definedName>
    <definedName name="heat_OMvar">Input_Output!$D$60</definedName>
    <definedName name="heat_power">Input_Output!$B$48</definedName>
    <definedName name="inflation">Input_Output!$D$66</definedName>
    <definedName name="lifetime">Input_Output!$D$15</definedName>
    <definedName name="loan_rate">Input_Output!$D$67</definedName>
    <definedName name="nrofwells">Input_Output!$D$21</definedName>
    <definedName name="ooperation_choice">Input_Output!$G$2</definedName>
    <definedName name="PlantInvest">Input_Output!$D$37</definedName>
    <definedName name="Power">Input_Output!$D$33</definedName>
    <definedName name="power_feedin">Input_Output!$D$62</definedName>
    <definedName name="power_loadhours">Input_Output!$D$36</definedName>
    <definedName name="power_OMfixed">Input_Output!$D$44</definedName>
    <definedName name="power_OMvar">Input_Output!$D$45</definedName>
    <definedName name="_xlnm.Print_Area" localSheetId="1">Input_Output!$B$1:$H$81</definedName>
    <definedName name="_xlnm.Print_Titles" localSheetId="3">CFpower!$A:$D</definedName>
    <definedName name="pumpcost2">Input_Output!$D$20</definedName>
    <definedName name="pumps">Input_Output!$D$21</definedName>
    <definedName name="Rhorock">Input_Output!#REF!</definedName>
    <definedName name="Rhowater">Input_Output!$K$7</definedName>
    <definedName name="salinity">Input_Output!$K$5</definedName>
    <definedName name="StimCosts">Input_Output!$D$19</definedName>
    <definedName name="stimulus_max">Input_Output!#REF!</definedName>
    <definedName name="stimulus_perc">Input_Output!#REF!</definedName>
    <definedName name="Tambient">Input_Output!$K$14</definedName>
    <definedName name="tax">Input_Output!$D$71</definedName>
    <definedName name="Tbase">Input_Output!#REF!</definedName>
    <definedName name="term_loan">Input_Output!$D$73</definedName>
    <definedName name="tgrad">Input_Output!$D$11</definedName>
    <definedName name="thermalpower_power">Input_Output!$D$32</definedName>
    <definedName name="toutlet">Input_Output!$D$30</definedName>
    <definedName name="Treinject">Input_Output!$D$14</definedName>
    <definedName name="Ts">Input_Output!$D$10</definedName>
    <definedName name="tvd">Input_Output!$D$7</definedName>
    <definedName name="Tx">Input_Output!$D$13</definedName>
    <definedName name="variable_OM_pumps">Input_Output!$D$27</definedName>
    <definedName name="well_pump">Input_Output!$B$20</definedName>
    <definedName name="wellcostscaling">Input_Output!$D$17</definedName>
  </definedNames>
  <calcPr calcId="191028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4" i="14" l="1"/>
  <c r="D55" i="14"/>
  <c r="D51" i="14"/>
  <c r="D6" i="14"/>
  <c r="D24" i="14" s="1"/>
  <c r="D8" i="14"/>
  <c r="D5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32" i="14"/>
  <c r="D13" i="14"/>
  <c r="K16" i="14" s="1"/>
  <c r="C82" i="14"/>
  <c r="C49" i="14"/>
  <c r="D9" i="14"/>
  <c r="D18" i="14" s="1"/>
  <c r="D22" i="14" l="1"/>
  <c r="D30" i="14"/>
  <c r="C78" i="14"/>
  <c r="C83" i="14"/>
  <c r="AE9" i="15" l="1"/>
  <c r="AF9" i="15"/>
  <c r="AG9" i="15"/>
  <c r="AH9" i="15"/>
  <c r="AI9" i="15"/>
  <c r="AJ9" i="15"/>
  <c r="AK9" i="15"/>
  <c r="AL9" i="15"/>
  <c r="AM9" i="15"/>
  <c r="AN9" i="15"/>
  <c r="AO9" i="15"/>
  <c r="AP9" i="15"/>
  <c r="AQ9" i="15"/>
  <c r="AR9" i="15"/>
  <c r="AS9" i="15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C54" i="14"/>
  <c r="C55" i="14"/>
  <c r="C52" i="14"/>
  <c r="C59" i="14"/>
  <c r="C58" i="14"/>
  <c r="C57" i="14"/>
  <c r="C17" i="14"/>
  <c r="C18" i="14"/>
  <c r="C19" i="14"/>
  <c r="C20" i="14"/>
  <c r="C21" i="14"/>
  <c r="C22" i="14"/>
  <c r="C24" i="14"/>
  <c r="C25" i="14"/>
  <c r="C26" i="14"/>
  <c r="C27" i="14"/>
  <c r="C23" i="14"/>
  <c r="AE11" i="15"/>
  <c r="AF11" i="15"/>
  <c r="AG11" i="15"/>
  <c r="AH11" i="15"/>
  <c r="AI11" i="15"/>
  <c r="AJ11" i="15"/>
  <c r="AK11" i="15"/>
  <c r="AL11" i="15"/>
  <c r="AM11" i="15"/>
  <c r="AN11" i="15"/>
  <c r="AO11" i="15"/>
  <c r="AP11" i="15"/>
  <c r="AQ11" i="15"/>
  <c r="AR11" i="15"/>
  <c r="AS11" i="15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D70" i="14"/>
  <c r="C31" i="15" s="1"/>
  <c r="C34" i="16" s="1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E8" i="15"/>
  <c r="AE28" i="15" s="1"/>
  <c r="AF8" i="15"/>
  <c r="AF28" i="15" s="1"/>
  <c r="AG8" i="15"/>
  <c r="AG28" i="15" s="1"/>
  <c r="AH8" i="15"/>
  <c r="AH28" i="15" s="1"/>
  <c r="AI8" i="15"/>
  <c r="AI28" i="15" s="1"/>
  <c r="AJ8" i="15"/>
  <c r="AJ28" i="15" s="1"/>
  <c r="AK8" i="15"/>
  <c r="AK28" i="15" s="1"/>
  <c r="AL8" i="15"/>
  <c r="AL28" i="15" s="1"/>
  <c r="AM8" i="15"/>
  <c r="AM28" i="15" s="1"/>
  <c r="AN8" i="15"/>
  <c r="AN28" i="15" s="1"/>
  <c r="AO8" i="15"/>
  <c r="AO28" i="15" s="1"/>
  <c r="AP8" i="15"/>
  <c r="AP28" i="15" s="1"/>
  <c r="AQ8" i="15"/>
  <c r="AQ28" i="15" s="1"/>
  <c r="AR8" i="15"/>
  <c r="AR28" i="15" s="1"/>
  <c r="AS8" i="15"/>
  <c r="AS28" i="15" s="1"/>
  <c r="C81" i="14"/>
  <c r="C77" i="14"/>
  <c r="C60" i="14"/>
  <c r="C47" i="14"/>
  <c r="L10" i="14"/>
  <c r="K6" i="14" a="1"/>
  <c r="K7" i="14" a="1"/>
  <c r="K7" i="14" l="1"/>
  <c r="K6" i="14"/>
  <c r="D32" i="14" l="1"/>
  <c r="D33" i="14" s="1"/>
  <c r="D41" i="14" s="1"/>
  <c r="D47" i="14"/>
  <c r="D48" i="14" s="1"/>
  <c r="C63" i="14"/>
  <c r="C62" i="14"/>
  <c r="AS14" i="16"/>
  <c r="AR14" i="16"/>
  <c r="AQ14" i="16"/>
  <c r="AP14" i="16"/>
  <c r="AO14" i="16"/>
  <c r="AN14" i="16"/>
  <c r="AM14" i="16"/>
  <c r="AL14" i="16"/>
  <c r="AK14" i="16"/>
  <c r="AJ14" i="16"/>
  <c r="AS13" i="16"/>
  <c r="AR13" i="16"/>
  <c r="AQ13" i="16"/>
  <c r="AP13" i="16"/>
  <c r="AO13" i="16"/>
  <c r="AN13" i="16"/>
  <c r="AM13" i="16"/>
  <c r="AL13" i="16"/>
  <c r="AK13" i="16"/>
  <c r="AJ13" i="16"/>
  <c r="AS14" i="15"/>
  <c r="AR14" i="15"/>
  <c r="AQ14" i="15"/>
  <c r="AP14" i="15"/>
  <c r="AO14" i="15"/>
  <c r="AN14" i="15"/>
  <c r="AM14" i="15"/>
  <c r="AL14" i="15"/>
  <c r="AK14" i="15"/>
  <c r="AJ14" i="15"/>
  <c r="AS13" i="15"/>
  <c r="AR13" i="15"/>
  <c r="AQ13" i="15"/>
  <c r="AP13" i="15"/>
  <c r="AO13" i="15"/>
  <c r="AN13" i="15"/>
  <c r="AM13" i="15"/>
  <c r="AL13" i="15"/>
  <c r="AK13" i="15"/>
  <c r="AJ13" i="15"/>
  <c r="AS28" i="16"/>
  <c r="AR28" i="16"/>
  <c r="AQ28" i="16"/>
  <c r="AO28" i="16"/>
  <c r="AN28" i="16"/>
  <c r="AM28" i="16"/>
  <c r="AK28" i="16"/>
  <c r="AJ28" i="16"/>
  <c r="AS17" i="16"/>
  <c r="AR17" i="16"/>
  <c r="AQ17" i="16"/>
  <c r="AP17" i="16"/>
  <c r="AO17" i="16"/>
  <c r="AN17" i="16"/>
  <c r="AM17" i="16"/>
  <c r="AL17" i="16"/>
  <c r="AK17" i="16"/>
  <c r="AJ17" i="16"/>
  <c r="AS17" i="15"/>
  <c r="AR17" i="15"/>
  <c r="AQ17" i="15"/>
  <c r="AP17" i="15"/>
  <c r="AO17" i="15"/>
  <c r="AN17" i="15"/>
  <c r="AM17" i="15"/>
  <c r="AL17" i="15"/>
  <c r="AK17" i="15"/>
  <c r="AJ17" i="15"/>
  <c r="AS19" i="16"/>
  <c r="AR19" i="16"/>
  <c r="AQ19" i="16"/>
  <c r="AP19" i="16"/>
  <c r="AO19" i="16"/>
  <c r="AN19" i="16"/>
  <c r="AM19" i="16"/>
  <c r="AL19" i="16"/>
  <c r="AK19" i="16"/>
  <c r="AJ19" i="16"/>
  <c r="AS18" i="16"/>
  <c r="AR18" i="16"/>
  <c r="AQ18" i="16"/>
  <c r="AP18" i="16"/>
  <c r="AO18" i="16"/>
  <c r="AN18" i="16"/>
  <c r="AM18" i="16"/>
  <c r="AL18" i="16"/>
  <c r="AK18" i="16"/>
  <c r="AJ18" i="16"/>
  <c r="AS19" i="15"/>
  <c r="AR19" i="15"/>
  <c r="AQ19" i="15"/>
  <c r="AP19" i="15"/>
  <c r="AO19" i="15"/>
  <c r="AN19" i="15"/>
  <c r="AM19" i="15"/>
  <c r="AL19" i="15"/>
  <c r="AK19" i="15"/>
  <c r="AJ19" i="15"/>
  <c r="AS18" i="15"/>
  <c r="AR18" i="15"/>
  <c r="AQ18" i="15"/>
  <c r="AP18" i="15"/>
  <c r="AO18" i="15"/>
  <c r="AN18" i="15"/>
  <c r="AM18" i="15"/>
  <c r="AL18" i="15"/>
  <c r="AK18" i="15"/>
  <c r="AJ18" i="15"/>
  <c r="D57" i="14" l="1"/>
  <c r="D49" i="14"/>
  <c r="D56" i="14"/>
  <c r="D53" i="14"/>
  <c r="AD11" i="15"/>
  <c r="U11" i="15"/>
  <c r="AA8" i="16"/>
  <c r="Y11" i="15"/>
  <c r="AD8" i="16"/>
  <c r="AC8" i="16"/>
  <c r="W11" i="15"/>
  <c r="X8" i="16"/>
  <c r="AB11" i="15"/>
  <c r="V11" i="15"/>
  <c r="U8" i="16"/>
  <c r="W8" i="16"/>
  <c r="AB8" i="16"/>
  <c r="X11" i="15"/>
  <c r="AA11" i="15"/>
  <c r="AC11" i="15"/>
  <c r="Y8" i="16"/>
  <c r="V8" i="16"/>
  <c r="Z11" i="15"/>
  <c r="Z8" i="16"/>
  <c r="AL28" i="16"/>
  <c r="AP28" i="16"/>
  <c r="AS10" i="16" l="1"/>
  <c r="AN10" i="16"/>
  <c r="AI10" i="16"/>
  <c r="AD10" i="16"/>
  <c r="T10" i="16"/>
  <c r="O10" i="16"/>
  <c r="J10" i="16"/>
  <c r="AS10" i="15"/>
  <c r="AN10" i="15"/>
  <c r="J10" i="15"/>
  <c r="O10" i="15"/>
  <c r="T10" i="15"/>
  <c r="Y10" i="15"/>
  <c r="AD10" i="15"/>
  <c r="AI10" i="15"/>
  <c r="C29" i="14" l="1"/>
  <c r="L16" i="14" l="1"/>
  <c r="L15" i="14"/>
  <c r="C53" i="14"/>
  <c r="C56" i="14"/>
  <c r="C48" i="14"/>
  <c r="C50" i="14"/>
  <c r="C51" i="14"/>
  <c r="C30" i="14"/>
  <c r="Y10" i="16"/>
  <c r="E21" i="14"/>
  <c r="E17" i="14"/>
  <c r="A1" i="16" l="1"/>
  <c r="AK15" i="16" l="1"/>
  <c r="AK22" i="16" s="1"/>
  <c r="AK23" i="16" s="1"/>
  <c r="AO15" i="16"/>
  <c r="AO22" i="16" s="1"/>
  <c r="AO23" i="16" s="1"/>
  <c r="AS15" i="16"/>
  <c r="AS22" i="16" s="1"/>
  <c r="AS23" i="16" s="1"/>
  <c r="AM20" i="16"/>
  <c r="AQ20" i="16"/>
  <c r="AP15" i="16"/>
  <c r="AP22" i="16" s="1"/>
  <c r="AP23" i="16" s="1"/>
  <c r="AJ20" i="16"/>
  <c r="AN20" i="16"/>
  <c r="AR20" i="16"/>
  <c r="AM15" i="16"/>
  <c r="AM22" i="16" s="1"/>
  <c r="AM23" i="16" s="1"/>
  <c r="AQ15" i="16"/>
  <c r="AQ22" i="16" s="1"/>
  <c r="AQ23" i="16" s="1"/>
  <c r="AK20" i="16"/>
  <c r="AO20" i="16"/>
  <c r="AS20" i="16"/>
  <c r="AJ15" i="16"/>
  <c r="AJ22" i="16" s="1"/>
  <c r="AJ23" i="16" s="1"/>
  <c r="AN15" i="16"/>
  <c r="AN22" i="16" s="1"/>
  <c r="AR15" i="16"/>
  <c r="AR22" i="16" s="1"/>
  <c r="AR23" i="16" s="1"/>
  <c r="AL15" i="16"/>
  <c r="AL22" i="16" s="1"/>
  <c r="AL23" i="16" s="1"/>
  <c r="AL20" i="16"/>
  <c r="AP20" i="16"/>
  <c r="AN23" i="16" l="1"/>
  <c r="AN25" i="16" s="1"/>
  <c r="AR25" i="16"/>
  <c r="AJ25" i="16"/>
  <c r="AQ25" i="16"/>
  <c r="AM25" i="16"/>
  <c r="AK25" i="16"/>
  <c r="AS25" i="16"/>
  <c r="AL25" i="16"/>
  <c r="AP25" i="16"/>
  <c r="AO25" i="16"/>
  <c r="D58" i="14" l="1"/>
  <c r="D59" i="14" s="1"/>
  <c r="G11" i="15"/>
  <c r="O11" i="15"/>
  <c r="H11" i="15"/>
  <c r="P11" i="15"/>
  <c r="I11" i="15"/>
  <c r="Q11" i="15"/>
  <c r="F11" i="15"/>
  <c r="J11" i="15"/>
  <c r="R11" i="15"/>
  <c r="K11" i="15"/>
  <c r="S11" i="15"/>
  <c r="L11" i="15"/>
  <c r="T11" i="15"/>
  <c r="N11" i="15"/>
  <c r="M11" i="15"/>
  <c r="L8" i="16"/>
  <c r="T8" i="16"/>
  <c r="F8" i="16"/>
  <c r="F28" i="16" s="1"/>
  <c r="P8" i="16"/>
  <c r="I8" i="16"/>
  <c r="M8" i="16"/>
  <c r="N8" i="16"/>
  <c r="Q8" i="16"/>
  <c r="S8" i="16"/>
  <c r="K8" i="16"/>
  <c r="G8" i="16"/>
  <c r="O8" i="16"/>
  <c r="H8" i="16"/>
  <c r="J8" i="16"/>
  <c r="R8" i="16"/>
  <c r="D25" i="14"/>
  <c r="D27" i="14" s="1"/>
  <c r="D60" i="14" s="1"/>
  <c r="D34" i="14"/>
  <c r="D44" i="14" l="1"/>
  <c r="AD8" i="15"/>
  <c r="AD28" i="15" s="1"/>
  <c r="Z11" i="16"/>
  <c r="W8" i="15"/>
  <c r="W28" i="15" s="1"/>
  <c r="AA11" i="16"/>
  <c r="AB11" i="16"/>
  <c r="Y8" i="15"/>
  <c r="Y28" i="15" s="1"/>
  <c r="U11" i="16"/>
  <c r="V11" i="16"/>
  <c r="AA8" i="15"/>
  <c r="AA28" i="15" s="1"/>
  <c r="X11" i="16"/>
  <c r="X8" i="15"/>
  <c r="X28" i="15" s="1"/>
  <c r="AC11" i="16"/>
  <c r="AC13" i="16" s="1"/>
  <c r="Z8" i="15"/>
  <c r="Z28" i="15" s="1"/>
  <c r="AD11" i="16"/>
  <c r="W11" i="16"/>
  <c r="U8" i="15"/>
  <c r="U28" i="15" s="1"/>
  <c r="Y11" i="16"/>
  <c r="AB8" i="15"/>
  <c r="AB28" i="15" s="1"/>
  <c r="AC8" i="15"/>
  <c r="AC28" i="15" s="1"/>
  <c r="V8" i="15"/>
  <c r="V28" i="15" s="1"/>
  <c r="G11" i="16"/>
  <c r="O11" i="16"/>
  <c r="N11" i="16"/>
  <c r="H11" i="16"/>
  <c r="P11" i="16"/>
  <c r="I11" i="16"/>
  <c r="Q11" i="16"/>
  <c r="J11" i="16"/>
  <c r="R11" i="16"/>
  <c r="K11" i="16"/>
  <c r="S11" i="16"/>
  <c r="F11" i="16"/>
  <c r="F13" i="16" s="1"/>
  <c r="L11" i="16"/>
  <c r="T11" i="16"/>
  <c r="M11" i="16"/>
  <c r="N8" i="15"/>
  <c r="N28" i="15" s="1"/>
  <c r="F8" i="15"/>
  <c r="F28" i="15" s="1"/>
  <c r="G8" i="15"/>
  <c r="G28" i="15" s="1"/>
  <c r="O8" i="15"/>
  <c r="O28" i="15" s="1"/>
  <c r="H8" i="15"/>
  <c r="H28" i="15" s="1"/>
  <c r="P8" i="15"/>
  <c r="P28" i="15" s="1"/>
  <c r="I8" i="15"/>
  <c r="I28" i="15" s="1"/>
  <c r="Q8" i="15"/>
  <c r="Q28" i="15" s="1"/>
  <c r="S8" i="15"/>
  <c r="S28" i="15" s="1"/>
  <c r="J8" i="15"/>
  <c r="J28" i="15" s="1"/>
  <c r="R8" i="15"/>
  <c r="R28" i="15" s="1"/>
  <c r="K8" i="15"/>
  <c r="K28" i="15" s="1"/>
  <c r="L8" i="15"/>
  <c r="L28" i="15" s="1"/>
  <c r="T8" i="15"/>
  <c r="T28" i="15" s="1"/>
  <c r="M8" i="15"/>
  <c r="M28" i="15" s="1"/>
  <c r="D35" i="14"/>
  <c r="X28" i="16"/>
  <c r="L28" i="16"/>
  <c r="S28" i="16"/>
  <c r="J28" i="16"/>
  <c r="Z28" i="16"/>
  <c r="I28" i="16"/>
  <c r="Y28" i="16"/>
  <c r="P28" i="16"/>
  <c r="O28" i="16"/>
  <c r="T28" i="16"/>
  <c r="AA28" i="16"/>
  <c r="N28" i="16"/>
  <c r="AD28" i="16"/>
  <c r="M28" i="16"/>
  <c r="AC28" i="16"/>
  <c r="G28" i="16"/>
  <c r="AE28" i="16"/>
  <c r="AB28" i="16"/>
  <c r="AI28" i="16"/>
  <c r="R28" i="16"/>
  <c r="AH28" i="16"/>
  <c r="Q28" i="16"/>
  <c r="AG28" i="16"/>
  <c r="W28" i="16"/>
  <c r="H28" i="16"/>
  <c r="AF28" i="16"/>
  <c r="K28" i="16"/>
  <c r="V28" i="16"/>
  <c r="U28" i="16"/>
  <c r="A1" i="14"/>
  <c r="K23" i="14"/>
  <c r="K24" i="14" s="1"/>
  <c r="A1" i="15"/>
  <c r="A2" i="14"/>
  <c r="D28" i="16" l="1"/>
  <c r="C30" i="16"/>
  <c r="F17" i="16" s="1"/>
  <c r="C30" i="15"/>
  <c r="E5" i="15" s="1"/>
  <c r="D45" i="14"/>
  <c r="C31" i="16"/>
  <c r="AH13" i="16"/>
  <c r="L13" i="16"/>
  <c r="G13" i="16"/>
  <c r="W13" i="16"/>
  <c r="Y13" i="16"/>
  <c r="AD13" i="16"/>
  <c r="H13" i="16"/>
  <c r="AB13" i="16"/>
  <c r="T13" i="16"/>
  <c r="J13" i="16"/>
  <c r="X13" i="16"/>
  <c r="U13" i="16"/>
  <c r="Q13" i="16"/>
  <c r="K13" i="16"/>
  <c r="AG13" i="16"/>
  <c r="AI13" i="16"/>
  <c r="O13" i="16"/>
  <c r="AF13" i="16"/>
  <c r="R13" i="16"/>
  <c r="M13" i="16"/>
  <c r="N13" i="16"/>
  <c r="P13" i="16"/>
  <c r="I13" i="16"/>
  <c r="V13" i="16"/>
  <c r="AE13" i="16"/>
  <c r="AA13" i="16"/>
  <c r="Z13" i="16"/>
  <c r="S13" i="16"/>
  <c r="AK15" i="15"/>
  <c r="AK22" i="15" s="1"/>
  <c r="AK23" i="15" s="1"/>
  <c r="AQ20" i="15"/>
  <c r="AM20" i="15"/>
  <c r="AS20" i="15"/>
  <c r="AS15" i="15"/>
  <c r="AS22" i="15" s="1"/>
  <c r="AS23" i="15" s="1"/>
  <c r="AR20" i="15"/>
  <c r="AO20" i="15"/>
  <c r="AO15" i="15"/>
  <c r="AO22" i="15" s="1"/>
  <c r="AO23" i="15" s="1"/>
  <c r="AK20" i="15"/>
  <c r="AQ15" i="15"/>
  <c r="AQ22" i="15" s="1"/>
  <c r="AQ23" i="15" s="1"/>
  <c r="AL15" i="15"/>
  <c r="AL22" i="15" s="1"/>
  <c r="AL23" i="15" s="1"/>
  <c r="AJ15" i="15"/>
  <c r="AJ22" i="15" s="1"/>
  <c r="AJ23" i="15" s="1"/>
  <c r="AN15" i="15"/>
  <c r="AN22" i="15" s="1"/>
  <c r="AN23" i="15" s="1"/>
  <c r="AP20" i="15"/>
  <c r="AR15" i="15"/>
  <c r="AR22" i="15" s="1"/>
  <c r="AR23" i="15" s="1"/>
  <c r="AP15" i="15"/>
  <c r="AP22" i="15" s="1"/>
  <c r="AP23" i="15" s="1"/>
  <c r="AM15" i="15"/>
  <c r="AM22" i="15" s="1"/>
  <c r="AM23" i="15" s="1"/>
  <c r="AJ20" i="15"/>
  <c r="AL20" i="15"/>
  <c r="AN20" i="15"/>
  <c r="V9" i="15" l="1"/>
  <c r="V14" i="15" s="1"/>
  <c r="F9" i="16"/>
  <c r="F14" i="16" s="1"/>
  <c r="C35" i="16"/>
  <c r="C32" i="16"/>
  <c r="Z9" i="15"/>
  <c r="Z14" i="15" s="1"/>
  <c r="X9" i="15"/>
  <c r="X14" i="15" s="1"/>
  <c r="AB9" i="16"/>
  <c r="AB14" i="16" s="1"/>
  <c r="AD9" i="16"/>
  <c r="AD14" i="16" s="1"/>
  <c r="AA9" i="16"/>
  <c r="AA14" i="16" s="1"/>
  <c r="V9" i="16"/>
  <c r="V14" i="16" s="1"/>
  <c r="Z9" i="16"/>
  <c r="Z14" i="16" s="1"/>
  <c r="W9" i="15"/>
  <c r="W14" i="15" s="1"/>
  <c r="AC9" i="15"/>
  <c r="AC14" i="15" s="1"/>
  <c r="X9" i="16"/>
  <c r="X14" i="16" s="1"/>
  <c r="AC9" i="16"/>
  <c r="AC14" i="16" s="1"/>
  <c r="U9" i="15"/>
  <c r="U14" i="15" s="1"/>
  <c r="Y9" i="15"/>
  <c r="Y14" i="15" s="1"/>
  <c r="U9" i="16"/>
  <c r="U14" i="16" s="1"/>
  <c r="AB9" i="15"/>
  <c r="AB14" i="15" s="1"/>
  <c r="Y9" i="16"/>
  <c r="Y14" i="16" s="1"/>
  <c r="AD9" i="15"/>
  <c r="AD14" i="15" s="1"/>
  <c r="AA9" i="15"/>
  <c r="AA14" i="15" s="1"/>
  <c r="W9" i="16"/>
  <c r="W14" i="16" s="1"/>
  <c r="G9" i="15"/>
  <c r="G14" i="15" s="1"/>
  <c r="M9" i="15"/>
  <c r="M14" i="15" s="1"/>
  <c r="K9" i="15"/>
  <c r="K14" i="15" s="1"/>
  <c r="H9" i="16"/>
  <c r="H14" i="16" s="1"/>
  <c r="P9" i="15"/>
  <c r="P14" i="15" s="1"/>
  <c r="Q9" i="16"/>
  <c r="Q14" i="16" s="1"/>
  <c r="N9" i="15"/>
  <c r="N14" i="15" s="1"/>
  <c r="M9" i="16"/>
  <c r="M14" i="16" s="1"/>
  <c r="T9" i="16"/>
  <c r="T14" i="16" s="1"/>
  <c r="R9" i="15"/>
  <c r="R14" i="15" s="1"/>
  <c r="H9" i="15"/>
  <c r="H14" i="15" s="1"/>
  <c r="O9" i="15"/>
  <c r="O14" i="15" s="1"/>
  <c r="S9" i="15"/>
  <c r="S14" i="15" s="1"/>
  <c r="R9" i="16"/>
  <c r="R14" i="16" s="1"/>
  <c r="L9" i="16"/>
  <c r="L14" i="16" s="1"/>
  <c r="J9" i="15"/>
  <c r="J14" i="15" s="1"/>
  <c r="O9" i="16"/>
  <c r="O14" i="16" s="1"/>
  <c r="I9" i="15"/>
  <c r="I14" i="15" s="1"/>
  <c r="N9" i="16"/>
  <c r="N14" i="16" s="1"/>
  <c r="T9" i="15"/>
  <c r="T14" i="15" s="1"/>
  <c r="J9" i="16"/>
  <c r="J14" i="16" s="1"/>
  <c r="L9" i="15"/>
  <c r="L14" i="15" s="1"/>
  <c r="I9" i="16"/>
  <c r="I14" i="16" s="1"/>
  <c r="G9" i="16"/>
  <c r="G14" i="16" s="1"/>
  <c r="P9" i="16"/>
  <c r="P14" i="16" s="1"/>
  <c r="F9" i="15"/>
  <c r="F14" i="15" s="1"/>
  <c r="S9" i="16"/>
  <c r="S14" i="16" s="1"/>
  <c r="Q9" i="15"/>
  <c r="Q14" i="15" s="1"/>
  <c r="K9" i="16"/>
  <c r="K14" i="16" s="1"/>
  <c r="S13" i="15"/>
  <c r="H13" i="15"/>
  <c r="V13" i="15"/>
  <c r="Y13" i="15"/>
  <c r="AF13" i="15"/>
  <c r="O13" i="15"/>
  <c r="J13" i="15"/>
  <c r="Z13" i="15"/>
  <c r="AC13" i="15"/>
  <c r="AG14" i="15"/>
  <c r="AG14" i="16"/>
  <c r="AH14" i="15"/>
  <c r="AH14" i="16"/>
  <c r="AE14" i="15"/>
  <c r="AF14" i="16"/>
  <c r="AF14" i="15"/>
  <c r="AI14" i="16"/>
  <c r="AE14" i="16"/>
  <c r="AI14" i="15"/>
  <c r="P13" i="15"/>
  <c r="AA13" i="15"/>
  <c r="AI13" i="15"/>
  <c r="AE13" i="15"/>
  <c r="AB13" i="15"/>
  <c r="R13" i="15"/>
  <c r="AH13" i="15"/>
  <c r="U13" i="15"/>
  <c r="G13" i="15"/>
  <c r="F13" i="15"/>
  <c r="I13" i="15"/>
  <c r="X13" i="15"/>
  <c r="L13" i="15"/>
  <c r="M13" i="15"/>
  <c r="K13" i="15"/>
  <c r="W13" i="15"/>
  <c r="T13" i="15"/>
  <c r="N13" i="15"/>
  <c r="AD13" i="15"/>
  <c r="Q13" i="15"/>
  <c r="AG13" i="15"/>
  <c r="AM25" i="15"/>
  <c r="AQ25" i="15"/>
  <c r="AS25" i="15"/>
  <c r="AR25" i="15"/>
  <c r="AK25" i="15"/>
  <c r="AO25" i="15"/>
  <c r="AP25" i="15"/>
  <c r="AJ25" i="15"/>
  <c r="AN25" i="15"/>
  <c r="AL25" i="15"/>
  <c r="C32" i="15" l="1"/>
  <c r="C34" i="15" s="1"/>
  <c r="C35" i="15" s="1"/>
  <c r="F18" i="16" s="1"/>
  <c r="AH17" i="15"/>
  <c r="AD17" i="15"/>
  <c r="Z17" i="15"/>
  <c r="V17" i="15"/>
  <c r="R17" i="15"/>
  <c r="N17" i="15"/>
  <c r="J17" i="15"/>
  <c r="F17" i="15"/>
  <c r="AG17" i="15"/>
  <c r="AB17" i="15"/>
  <c r="W17" i="15"/>
  <c r="Q17" i="15"/>
  <c r="L17" i="15"/>
  <c r="G17" i="15"/>
  <c r="AI17" i="15"/>
  <c r="AC17" i="15"/>
  <c r="X17" i="15"/>
  <c r="S17" i="15"/>
  <c r="M17" i="15"/>
  <c r="H17" i="15"/>
  <c r="I17" i="15"/>
  <c r="AA17" i="15"/>
  <c r="Y17" i="15"/>
  <c r="AF17" i="15"/>
  <c r="U17" i="15"/>
  <c r="K17" i="15"/>
  <c r="AE17" i="15"/>
  <c r="T17" i="15"/>
  <c r="C36" i="15"/>
  <c r="P17" i="15"/>
  <c r="O17" i="15"/>
  <c r="AG17" i="16"/>
  <c r="AC17" i="16"/>
  <c r="Y17" i="16"/>
  <c r="AH17" i="16"/>
  <c r="AD17" i="16"/>
  <c r="Z17" i="16"/>
  <c r="V17" i="16"/>
  <c r="R17" i="16"/>
  <c r="N17" i="16"/>
  <c r="J17" i="16"/>
  <c r="AE17" i="16"/>
  <c r="W17" i="16"/>
  <c r="Q17" i="16"/>
  <c r="L17" i="16"/>
  <c r="G17" i="16"/>
  <c r="C36" i="16"/>
  <c r="AF17" i="16"/>
  <c r="X17" i="16"/>
  <c r="S17" i="16"/>
  <c r="M17" i="16"/>
  <c r="H17" i="16"/>
  <c r="I17" i="16"/>
  <c r="AB17" i="16"/>
  <c r="AA17" i="16"/>
  <c r="U17" i="16"/>
  <c r="K17" i="16"/>
  <c r="AI17" i="16"/>
  <c r="T17" i="16"/>
  <c r="P17" i="16"/>
  <c r="O17" i="16"/>
  <c r="I15" i="15"/>
  <c r="F15" i="15"/>
  <c r="AH15" i="15"/>
  <c r="G15" i="15"/>
  <c r="P15" i="16"/>
  <c r="M15" i="15"/>
  <c r="R15" i="15"/>
  <c r="O15" i="16"/>
  <c r="AI15" i="15"/>
  <c r="L15" i="15"/>
  <c r="AE15" i="15"/>
  <c r="O15" i="15"/>
  <c r="AC15" i="15"/>
  <c r="W15" i="15"/>
  <c r="AA15" i="15"/>
  <c r="S15" i="15"/>
  <c r="N15" i="15"/>
  <c r="Q15" i="15"/>
  <c r="V15" i="16"/>
  <c r="Z15" i="16"/>
  <c r="AG15" i="16"/>
  <c r="K15" i="16"/>
  <c r="Q15" i="16"/>
  <c r="AB15" i="16"/>
  <c r="J15" i="15"/>
  <c r="H15" i="15"/>
  <c r="U15" i="15"/>
  <c r="Z15" i="15"/>
  <c r="T15" i="15"/>
  <c r="Y15" i="15"/>
  <c r="AD15" i="16"/>
  <c r="Y15" i="16"/>
  <c r="AI15" i="16"/>
  <c r="AF15" i="15"/>
  <c r="V15" i="15"/>
  <c r="AG15" i="15"/>
  <c r="X15" i="15"/>
  <c r="AB15" i="15"/>
  <c r="AD15" i="15"/>
  <c r="K15" i="15"/>
  <c r="P15" i="15"/>
  <c r="J15" i="16"/>
  <c r="I15" i="16"/>
  <c r="F15" i="16"/>
  <c r="N15" i="16"/>
  <c r="U15" i="16"/>
  <c r="T15" i="16"/>
  <c r="AA15" i="16"/>
  <c r="AF15" i="16"/>
  <c r="L15" i="16"/>
  <c r="S15" i="16"/>
  <c r="AH15" i="16"/>
  <c r="R15" i="16"/>
  <c r="AC15" i="16"/>
  <c r="M15" i="16"/>
  <c r="X15" i="16"/>
  <c r="H15" i="16"/>
  <c r="W15" i="16"/>
  <c r="E5" i="16"/>
  <c r="AE15" i="16"/>
  <c r="G15" i="16"/>
  <c r="D28" i="15"/>
  <c r="F18" i="15" l="1"/>
  <c r="AH19" i="16"/>
  <c r="AG19" i="16"/>
  <c r="AC19" i="16"/>
  <c r="Y19" i="16"/>
  <c r="U19" i="16"/>
  <c r="Q19" i="16"/>
  <c r="M19" i="16"/>
  <c r="I19" i="16"/>
  <c r="AI19" i="16"/>
  <c r="AD19" i="16"/>
  <c r="Z19" i="16"/>
  <c r="V19" i="16"/>
  <c r="R19" i="16"/>
  <c r="N19" i="16"/>
  <c r="J19" i="16"/>
  <c r="F19" i="16"/>
  <c r="O19" i="16"/>
  <c r="T19" i="16"/>
  <c r="S19" i="16"/>
  <c r="AF19" i="16"/>
  <c r="X19" i="16"/>
  <c r="P19" i="16"/>
  <c r="H19" i="16"/>
  <c r="AE19" i="16"/>
  <c r="W19" i="16"/>
  <c r="G19" i="16"/>
  <c r="AB19" i="16"/>
  <c r="L19" i="16"/>
  <c r="AA19" i="16"/>
  <c r="K19" i="16"/>
  <c r="AG18" i="16"/>
  <c r="AC18" i="16"/>
  <c r="Y18" i="16"/>
  <c r="U18" i="16"/>
  <c r="Q18" i="16"/>
  <c r="I18" i="16"/>
  <c r="AC19" i="15"/>
  <c r="U19" i="15"/>
  <c r="M19" i="15"/>
  <c r="AC18" i="15"/>
  <c r="AC22" i="15" s="1"/>
  <c r="AC23" i="15" s="1"/>
  <c r="U18" i="15"/>
  <c r="U22" i="15" s="1"/>
  <c r="U23" i="15" s="1"/>
  <c r="M18" i="15"/>
  <c r="M22" i="15" s="1"/>
  <c r="M23" i="15" s="1"/>
  <c r="AH18" i="16"/>
  <c r="AD18" i="16"/>
  <c r="Z18" i="16"/>
  <c r="V18" i="16"/>
  <c r="R18" i="16"/>
  <c r="N18" i="16"/>
  <c r="J18" i="16"/>
  <c r="AH19" i="15"/>
  <c r="AD19" i="15"/>
  <c r="Z19" i="15"/>
  <c r="V19" i="15"/>
  <c r="R19" i="15"/>
  <c r="N19" i="15"/>
  <c r="J19" i="15"/>
  <c r="F19" i="15"/>
  <c r="AH18" i="15"/>
  <c r="AD18" i="15"/>
  <c r="AD22" i="15" s="1"/>
  <c r="AD23" i="15" s="1"/>
  <c r="Z18" i="15"/>
  <c r="Z22" i="15" s="1"/>
  <c r="Z23" i="15" s="1"/>
  <c r="V18" i="15"/>
  <c r="V22" i="15" s="1"/>
  <c r="V23" i="15" s="1"/>
  <c r="R18" i="15"/>
  <c r="N18" i="15"/>
  <c r="N22" i="15" s="1"/>
  <c r="N23" i="15" s="1"/>
  <c r="J18" i="15"/>
  <c r="J22" i="15" s="1"/>
  <c r="J23" i="15" s="1"/>
  <c r="M18" i="16"/>
  <c r="AG19" i="15"/>
  <c r="Y19" i="15"/>
  <c r="Q19" i="15"/>
  <c r="I19" i="15"/>
  <c r="AG18" i="15"/>
  <c r="AG22" i="15" s="1"/>
  <c r="AG23" i="15" s="1"/>
  <c r="Y18" i="15"/>
  <c r="Y22" i="15" s="1"/>
  <c r="Y23" i="15" s="1"/>
  <c r="Q18" i="15"/>
  <c r="Q22" i="15" s="1"/>
  <c r="Q23" i="15" s="1"/>
  <c r="I18" i="15"/>
  <c r="I22" i="15" s="1"/>
  <c r="I23" i="15" s="1"/>
  <c r="X18" i="16"/>
  <c r="H18" i="16"/>
  <c r="AI19" i="15"/>
  <c r="S19" i="15"/>
  <c r="T18" i="15"/>
  <c r="T22" i="15" s="1"/>
  <c r="T23" i="15" s="1"/>
  <c r="AE18" i="16"/>
  <c r="O18" i="16"/>
  <c r="AF19" i="15"/>
  <c r="P19" i="15"/>
  <c r="AI18" i="15"/>
  <c r="AI22" i="15" s="1"/>
  <c r="AI23" i="15" s="1"/>
  <c r="S18" i="15"/>
  <c r="S22" i="15" s="1"/>
  <c r="S23" i="15" s="1"/>
  <c r="AB18" i="16"/>
  <c r="L18" i="16"/>
  <c r="W19" i="15"/>
  <c r="G19" i="15"/>
  <c r="X18" i="15"/>
  <c r="X22" i="15" s="1"/>
  <c r="X23" i="15" s="1"/>
  <c r="H18" i="15"/>
  <c r="AI18" i="16"/>
  <c r="AA18" i="16"/>
  <c r="S18" i="16"/>
  <c r="K18" i="16"/>
  <c r="AB19" i="15"/>
  <c r="T19" i="15"/>
  <c r="L19" i="15"/>
  <c r="AE18" i="15"/>
  <c r="AE22" i="15" s="1"/>
  <c r="AE23" i="15" s="1"/>
  <c r="W18" i="15"/>
  <c r="W22" i="15" s="1"/>
  <c r="W23" i="15" s="1"/>
  <c r="O18" i="15"/>
  <c r="O22" i="15" s="1"/>
  <c r="O23" i="15" s="1"/>
  <c r="G18" i="15"/>
  <c r="G22" i="15" s="1"/>
  <c r="G23" i="15" s="1"/>
  <c r="AF18" i="16"/>
  <c r="P18" i="16"/>
  <c r="AA19" i="15"/>
  <c r="K19" i="15"/>
  <c r="AB18" i="15"/>
  <c r="AB22" i="15" s="1"/>
  <c r="AB23" i="15" s="1"/>
  <c r="L18" i="15"/>
  <c r="L22" i="15" s="1"/>
  <c r="L23" i="15" s="1"/>
  <c r="W18" i="16"/>
  <c r="G18" i="16"/>
  <c r="X19" i="15"/>
  <c r="H19" i="15"/>
  <c r="AA18" i="15"/>
  <c r="AA22" i="15" s="1"/>
  <c r="AA23" i="15" s="1"/>
  <c r="K18" i="15"/>
  <c r="K22" i="15" s="1"/>
  <c r="K23" i="15" s="1"/>
  <c r="T18" i="16"/>
  <c r="AE19" i="15"/>
  <c r="O19" i="15"/>
  <c r="AF18" i="15"/>
  <c r="AF22" i="15" s="1"/>
  <c r="AF23" i="15" s="1"/>
  <c r="P18" i="15"/>
  <c r="AH20" i="15" l="1"/>
  <c r="T20" i="15"/>
  <c r="T25" i="15" s="1"/>
  <c r="AD20" i="15"/>
  <c r="AD25" i="15" s="1"/>
  <c r="R20" i="15"/>
  <c r="AC20" i="16"/>
  <c r="AC22" i="16"/>
  <c r="AC23" i="16" s="1"/>
  <c r="R20" i="16"/>
  <c r="R22" i="16"/>
  <c r="R23" i="16" s="1"/>
  <c r="AH20" i="16"/>
  <c r="AH22" i="16"/>
  <c r="AH23" i="16" s="1"/>
  <c r="G20" i="16"/>
  <c r="G22" i="16"/>
  <c r="G23" i="16" s="1"/>
  <c r="W20" i="16"/>
  <c r="W22" i="16"/>
  <c r="W23" i="16" s="1"/>
  <c r="H20" i="16"/>
  <c r="H22" i="16"/>
  <c r="H23" i="16" s="1"/>
  <c r="X20" i="16"/>
  <c r="X22" i="16"/>
  <c r="X23" i="16" s="1"/>
  <c r="AG20" i="16"/>
  <c r="AG22" i="16"/>
  <c r="AG23" i="16" s="1"/>
  <c r="F20" i="16"/>
  <c r="F22" i="16"/>
  <c r="F23" i="16" s="1"/>
  <c r="V20" i="16"/>
  <c r="V22" i="16"/>
  <c r="V23" i="16" s="1"/>
  <c r="I20" i="16"/>
  <c r="I22" i="16"/>
  <c r="I23" i="16" s="1"/>
  <c r="K20" i="16"/>
  <c r="K22" i="16"/>
  <c r="K23" i="16" s="1"/>
  <c r="AA20" i="16"/>
  <c r="AA22" i="16"/>
  <c r="AA23" i="16" s="1"/>
  <c r="L20" i="16"/>
  <c r="L22" i="16"/>
  <c r="L23" i="16" s="1"/>
  <c r="AB20" i="16"/>
  <c r="AB22" i="16"/>
  <c r="AB23" i="16" s="1"/>
  <c r="M20" i="16"/>
  <c r="M22" i="16"/>
  <c r="M23" i="16" s="1"/>
  <c r="J20" i="16"/>
  <c r="J22" i="16"/>
  <c r="J23" i="16" s="1"/>
  <c r="Z20" i="16"/>
  <c r="Z22" i="16"/>
  <c r="Z23" i="16" s="1"/>
  <c r="Q20" i="16"/>
  <c r="Q22" i="16"/>
  <c r="Q23" i="16" s="1"/>
  <c r="O20" i="16"/>
  <c r="O22" i="16"/>
  <c r="O23" i="16" s="1"/>
  <c r="AE20" i="16"/>
  <c r="AE22" i="16"/>
  <c r="AE23" i="16" s="1"/>
  <c r="P20" i="16"/>
  <c r="P22" i="16"/>
  <c r="P23" i="16" s="1"/>
  <c r="AF20" i="16"/>
  <c r="AF22" i="16"/>
  <c r="AF23" i="16" s="1"/>
  <c r="U20" i="16"/>
  <c r="U22" i="16"/>
  <c r="U23" i="16" s="1"/>
  <c r="N20" i="16"/>
  <c r="N22" i="16"/>
  <c r="N23" i="16" s="1"/>
  <c r="AD20" i="16"/>
  <c r="AD22" i="16"/>
  <c r="AD23" i="16" s="1"/>
  <c r="Y20" i="16"/>
  <c r="Y22" i="16"/>
  <c r="Y23" i="16" s="1"/>
  <c r="S20" i="16"/>
  <c r="S22" i="16"/>
  <c r="S23" i="16" s="1"/>
  <c r="AI20" i="16"/>
  <c r="AI22" i="16"/>
  <c r="AI23" i="16" s="1"/>
  <c r="T20" i="16"/>
  <c r="T22" i="16"/>
  <c r="T23" i="16" s="1"/>
  <c r="X20" i="15"/>
  <c r="X25" i="15" s="1"/>
  <c r="AI20" i="15"/>
  <c r="AI25" i="15" s="1"/>
  <c r="F22" i="15"/>
  <c r="F23" i="15" s="1"/>
  <c r="M20" i="15"/>
  <c r="M25" i="15" s="1"/>
  <c r="N20" i="15"/>
  <c r="N25" i="15" s="1"/>
  <c r="R22" i="15"/>
  <c r="R23" i="15" s="1"/>
  <c r="AH22" i="15"/>
  <c r="K20" i="15"/>
  <c r="K25" i="15" s="1"/>
  <c r="G20" i="15"/>
  <c r="G25" i="15" s="1"/>
  <c r="H20" i="15"/>
  <c r="AF20" i="15"/>
  <c r="AF25" i="15" s="1"/>
  <c r="AE20" i="15"/>
  <c r="AE25" i="15" s="1"/>
  <c r="O20" i="15"/>
  <c r="O25" i="15" s="1"/>
  <c r="L20" i="15"/>
  <c r="L25" i="15" s="1"/>
  <c r="H22" i="15"/>
  <c r="H23" i="15" s="1"/>
  <c r="AG20" i="15"/>
  <c r="AG25" i="15" s="1"/>
  <c r="I20" i="15"/>
  <c r="I25" i="15" s="1"/>
  <c r="Z20" i="15"/>
  <c r="Z25" i="15" s="1"/>
  <c r="P20" i="15"/>
  <c r="P22" i="15"/>
  <c r="P23" i="15" s="1"/>
  <c r="Q20" i="15"/>
  <c r="Q25" i="15" s="1"/>
  <c r="F20" i="15"/>
  <c r="Y20" i="15"/>
  <c r="Y25" i="15" s="1"/>
  <c r="AB20" i="15"/>
  <c r="AB25" i="15" s="1"/>
  <c r="S20" i="15"/>
  <c r="S25" i="15" s="1"/>
  <c r="J20" i="15"/>
  <c r="J25" i="15" s="1"/>
  <c r="AC20" i="15"/>
  <c r="AC25" i="15" s="1"/>
  <c r="U20" i="15"/>
  <c r="U25" i="15" s="1"/>
  <c r="W20" i="15"/>
  <c r="W25" i="15" s="1"/>
  <c r="V20" i="15"/>
  <c r="V25" i="15" s="1"/>
  <c r="AA20" i="15"/>
  <c r="AA25" i="15" s="1"/>
  <c r="F25" i="16" l="1"/>
  <c r="AH23" i="15"/>
  <c r="AH25" i="15" s="1"/>
  <c r="R25" i="15"/>
  <c r="T25" i="16"/>
  <c r="S25" i="16"/>
  <c r="P25" i="16"/>
  <c r="Z25" i="16"/>
  <c r="K25" i="16"/>
  <c r="H25" i="16"/>
  <c r="R25" i="16"/>
  <c r="AI25" i="16"/>
  <c r="AF25" i="16"/>
  <c r="J25" i="16"/>
  <c r="AB25" i="16"/>
  <c r="AA25" i="16"/>
  <c r="I25" i="16"/>
  <c r="X25" i="16"/>
  <c r="W25" i="16"/>
  <c r="AH25" i="16"/>
  <c r="AD25" i="16"/>
  <c r="U25" i="16"/>
  <c r="O25" i="16"/>
  <c r="M25" i="16"/>
  <c r="L25" i="16"/>
  <c r="V25" i="16"/>
  <c r="AG25" i="16"/>
  <c r="G25" i="16"/>
  <c r="Y25" i="16"/>
  <c r="N25" i="16"/>
  <c r="AE25" i="16"/>
  <c r="Q25" i="16"/>
  <c r="AC25" i="16"/>
  <c r="F25" i="15"/>
  <c r="P25" i="15"/>
  <c r="H25" i="15"/>
  <c r="D27" i="16" l="1"/>
  <c r="D27" i="15"/>
  <c r="D77" i="14" l="1"/>
  <c r="D78" i="14" s="1"/>
  <c r="D81" i="14"/>
  <c r="D82" i="14" l="1"/>
  <c r="D83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JanDiederik van Wees</author>
  </authors>
  <commentList>
    <comment ref="D20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JanDiederik van Wees:</t>
        </r>
        <r>
          <rPr>
            <sz val="9"/>
            <color indexed="81"/>
            <rFont val="Tahoma"/>
            <family val="2"/>
          </rPr>
          <t xml:space="preserve">
just make 1 pump</t>
        </r>
      </text>
    </comment>
    <comment ref="D2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JanDiederik van Wees:</t>
        </r>
        <r>
          <rPr>
            <sz val="9"/>
            <color indexed="81"/>
            <rFont val="Tahoma"/>
            <family val="2"/>
          </rPr>
          <t xml:space="preserve">
change name to nrwells not pumps!
</t>
        </r>
      </text>
    </comment>
    <comment ref="F2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JanDiederik van Wees:</t>
        </r>
        <r>
          <rPr>
            <sz val="9"/>
            <color indexed="81"/>
            <rFont val="Tahoma"/>
            <family val="2"/>
          </rPr>
          <t xml:space="preserve">
explain that for Mwe/Mwe this would much lower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<sst xmlns="http://schemas.openxmlformats.org/spreadsheetml/2006/main" count="373" uniqueCount="246">
  <si>
    <t xml:space="preserve">Geothermal power </t>
  </si>
  <si>
    <t>authors</t>
  </si>
  <si>
    <t>Jan-Diederik van Wees</t>
  </si>
  <si>
    <t>date</t>
  </si>
  <si>
    <t>sources</t>
  </si>
  <si>
    <t>Cash flow methodology is largely based on dutch economic models and spreadsheets developed by TNO/PBL</t>
  </si>
  <si>
    <t>version</t>
  </si>
  <si>
    <t>Contact</t>
  </si>
  <si>
    <t>Contact jan-diederik van Wees. Jan_diederik.vanwees@tno.nl, +31651338919</t>
  </si>
  <si>
    <t>color coding</t>
  </si>
  <si>
    <t>do not enter value (calculated by other cells)</t>
  </si>
  <si>
    <t>enter value</t>
  </si>
  <si>
    <t>field in relevant in the calculation</t>
  </si>
  <si>
    <t>Geothermal Energy</t>
  </si>
  <si>
    <t>Operational choice</t>
  </si>
  <si>
    <t>rock and fluid properties</t>
  </si>
  <si>
    <t>existing well</t>
  </si>
  <si>
    <t>no</t>
  </si>
  <si>
    <t>parameter</t>
  </si>
  <si>
    <t>Value</t>
  </si>
  <si>
    <t>Unit</t>
  </si>
  <si>
    <t>INPUTVARIABLES</t>
  </si>
  <si>
    <t>used</t>
  </si>
  <si>
    <t>Comment</t>
  </si>
  <si>
    <t>salinity</t>
  </si>
  <si>
    <t>ppm</t>
  </si>
  <si>
    <t>Flowrate</t>
  </si>
  <si>
    <t>L/s</t>
  </si>
  <si>
    <t>total flow rate which is achieved from the subsurface (measured at surface conditions)</t>
  </si>
  <si>
    <t>Cpwater</t>
  </si>
  <si>
    <t>J/kg K</t>
  </si>
  <si>
    <t>TVD top reservoir</t>
  </si>
  <si>
    <t>m</t>
  </si>
  <si>
    <t>true vertical depth top reservoir (used for production temperature)</t>
  </si>
  <si>
    <t>𝜌water</t>
  </si>
  <si>
    <t>kg/m3</t>
  </si>
  <si>
    <t>curvature factor</t>
  </si>
  <si>
    <t>-</t>
  </si>
  <si>
    <t>scaling factor</t>
  </si>
  <si>
    <t>along hole depth of a single well</t>
  </si>
  <si>
    <t>along hole depth (total length) for well cost equation</t>
  </si>
  <si>
    <t>ESP efficiency</t>
  </si>
  <si>
    <t>Surface temperature (Ts)</t>
  </si>
  <si>
    <t>C</t>
  </si>
  <si>
    <t>average yearly surface temperature</t>
  </si>
  <si>
    <t>temperature gradient</t>
  </si>
  <si>
    <t>thermal gradient C/km</t>
  </si>
  <si>
    <t>temperature loss in production tubing</t>
  </si>
  <si>
    <t>thermal loss in production tubing (typically 1-2 degrees)</t>
  </si>
  <si>
    <t>production temperature (Tx)</t>
  </si>
  <si>
    <t>production temperature (reservoir temperature, corrected for temperature losses)</t>
  </si>
  <si>
    <t>power conversion</t>
  </si>
  <si>
    <t>direct heat reinjection temperature(Treinject)</t>
  </si>
  <si>
    <t>reinjection temperature (effective temperature range is Tx...Treinject)</t>
  </si>
  <si>
    <t>ambient temperature</t>
  </si>
  <si>
    <t>Economic lifetime</t>
  </si>
  <si>
    <t>Years</t>
  </si>
  <si>
    <t>lifetime for cash flow calculations</t>
  </si>
  <si>
    <t>relative efficiency</t>
  </si>
  <si>
    <t>subsurface</t>
  </si>
  <si>
    <t>total conversion efficiency</t>
  </si>
  <si>
    <t>well cost scaling factor</t>
  </si>
  <si>
    <t>scaling factor for calculating well costs</t>
  </si>
  <si>
    <t>well costs</t>
  </si>
  <si>
    <t>mln $/Well</t>
  </si>
  <si>
    <t>calculated costs for drillling the wells</t>
  </si>
  <si>
    <t>chiller conversion</t>
  </si>
  <si>
    <t>Stimulation and other Cost</t>
  </si>
  <si>
    <t>additional well costs for stimulation (and other costs) of the reservoir</t>
  </si>
  <si>
    <t>total efficiency</t>
  </si>
  <si>
    <t>percentage</t>
  </si>
  <si>
    <t>parasitic power consumption</t>
  </si>
  <si>
    <t>Number of wells</t>
  </si>
  <si>
    <t>number of wells in the reservoir</t>
  </si>
  <si>
    <t>subsurface capex</t>
  </si>
  <si>
    <t xml:space="preserve">mln $ </t>
  </si>
  <si>
    <t>calculated subsurface capex for wells (excluding contigency)</t>
  </si>
  <si>
    <t>units</t>
  </si>
  <si>
    <t>DP for pressure loop (ESP)</t>
  </si>
  <si>
    <t>bar</t>
  </si>
  <si>
    <t>Seconds per year</t>
  </si>
  <si>
    <t>s</t>
  </si>
  <si>
    <t>ESP power consumption</t>
  </si>
  <si>
    <t>kWe</t>
  </si>
  <si>
    <t>seconds per 30 years</t>
  </si>
  <si>
    <t>COP</t>
  </si>
  <si>
    <t xml:space="preserve">- </t>
  </si>
  <si>
    <t>coefficient of performance (MWth/MWe) to drive the ESP</t>
  </si>
  <si>
    <t>electricity price for driving the pumps</t>
  </si>
  <si>
    <t>$ct/kWhe</t>
  </si>
  <si>
    <t>electricity price for the power consumed by the subsurface pumps</t>
  </si>
  <si>
    <t>Variable O&amp;M</t>
  </si>
  <si>
    <t>$ct/kWth</t>
  </si>
  <si>
    <t xml:space="preserve">calculated variable O&amp;M per unit of heat produced </t>
  </si>
  <si>
    <t>power temperature range used</t>
  </si>
  <si>
    <t>relative portion chiller</t>
  </si>
  <si>
    <t>%</t>
  </si>
  <si>
    <t>relative value (100%= Tx,0%=Tbase) for upper limit of temperature range for chiller</t>
  </si>
  <si>
    <t>outlet temperature power plant (Toutlet)</t>
  </si>
  <si>
    <t>upper limit of Temperature for chiller use</t>
  </si>
  <si>
    <t>power surface facilities</t>
  </si>
  <si>
    <t>thermal power for electricity</t>
  </si>
  <si>
    <t>MWth</t>
  </si>
  <si>
    <t>net power produced, taking into account the relative efficiency recorded by operating binary and flash plants</t>
  </si>
  <si>
    <t>electric power</t>
  </si>
  <si>
    <t>power COP</t>
  </si>
  <si>
    <t xml:space="preserve">coefficient of performance </t>
  </si>
  <si>
    <t>electric power (corrected for ESP)</t>
  </si>
  <si>
    <t>power Loadtime</t>
  </si>
  <si>
    <t>hours/year</t>
  </si>
  <si>
    <t>effective load hours in a year for electricity production</t>
  </si>
  <si>
    <t>power Plant investment costs</t>
  </si>
  <si>
    <t>$/kWe</t>
  </si>
  <si>
    <t>costs for power conversion system</t>
  </si>
  <si>
    <t>power Distance to grid</t>
  </si>
  <si>
    <t>distance for the connection to the power grid</t>
  </si>
  <si>
    <t>power Grid investment</t>
  </si>
  <si>
    <t>grid connection cost per unit of power installed</t>
  </si>
  <si>
    <t>power Grid Connection Variable</t>
  </si>
  <si>
    <t>$/m</t>
  </si>
  <si>
    <t>grid connection cost per unit of distance</t>
  </si>
  <si>
    <t>power plant CAPEX</t>
  </si>
  <si>
    <t xml:space="preserve">k$ </t>
  </si>
  <si>
    <t>calculated capex for power plant and grid connection</t>
  </si>
  <si>
    <t>power base OPEX</t>
  </si>
  <si>
    <t>k$</t>
  </si>
  <si>
    <t>power fixed OPEX per unit installed</t>
  </si>
  <si>
    <t>$/kW</t>
  </si>
  <si>
    <t>power O&amp;M costs per unit of heat production installed</t>
  </si>
  <si>
    <t>power Fixed O&amp;M</t>
  </si>
  <si>
    <t>k$/y</t>
  </si>
  <si>
    <t>calculated O&amp;M costs per unit of power installed</t>
  </si>
  <si>
    <t>power Variable O&amp;M</t>
  </si>
  <si>
    <t>calculated variable O&amp;M costs (dependent on COP, and efficiency of conversion)</t>
  </si>
  <si>
    <t>heat production (gross)</t>
  </si>
  <si>
    <t>chiller cold production</t>
  </si>
  <si>
    <t>MW</t>
  </si>
  <si>
    <t>RT</t>
  </si>
  <si>
    <t>chiller Refrigeration Tonnes capacity</t>
  </si>
  <si>
    <t>effective load hours in a year for cold production</t>
  </si>
  <si>
    <t>chiller base  investment</t>
  </si>
  <si>
    <t>chiller variable investment</t>
  </si>
  <si>
    <t>chiller base OPEX</t>
  </si>
  <si>
    <t>chiller fixed OPEX per unit installed</t>
  </si>
  <si>
    <t>kW</t>
  </si>
  <si>
    <t>parasitic power consumption of chiller</t>
  </si>
  <si>
    <t>parasitic power consumption of ESP and chiller</t>
  </si>
  <si>
    <t>KW/KW</t>
  </si>
  <si>
    <t>Coefficient of performance</t>
  </si>
  <si>
    <t>$ct/kWh</t>
  </si>
  <si>
    <t>calculated variable O&amp;M costs (dependent on COP)</t>
  </si>
  <si>
    <t xml:space="preserve">reference LCOE (alternative) </t>
  </si>
  <si>
    <t>electricity</t>
  </si>
  <si>
    <t xml:space="preserve">reference LCOE for electricity, used for NPV </t>
  </si>
  <si>
    <t>chill</t>
  </si>
  <si>
    <t>economics</t>
  </si>
  <si>
    <t>Capex contigency</t>
  </si>
  <si>
    <t>contigency over all Capex items</t>
  </si>
  <si>
    <t>Inflation</t>
  </si>
  <si>
    <t>inflation for costs and benefits in project cash flow</t>
  </si>
  <si>
    <t>loan rate</t>
  </si>
  <si>
    <t>interest rate on debt</t>
  </si>
  <si>
    <t>Required return on equity</t>
  </si>
  <si>
    <t>required return on equity</t>
  </si>
  <si>
    <t>Equity share in investment</t>
  </si>
  <si>
    <t>share of equity in the effective investment</t>
  </si>
  <si>
    <t>Debt share in investment</t>
  </si>
  <si>
    <t xml:space="preserve">share of debt(the loan) in effective investment </t>
  </si>
  <si>
    <t>Tax</t>
  </si>
  <si>
    <t>tax rate for company</t>
  </si>
  <si>
    <t>Term Loan</t>
  </si>
  <si>
    <t>Year</t>
  </si>
  <si>
    <t>number of years for the loan</t>
  </si>
  <si>
    <t>Depreciation period</t>
  </si>
  <si>
    <t>number of years for depreciation (linear per unit of production)</t>
  </si>
  <si>
    <t>POWER (power,co-heat)</t>
  </si>
  <si>
    <t>levelized cost of energy (LCOE)</t>
  </si>
  <si>
    <t>$/kWh</t>
  </si>
  <si>
    <t>estimated NPV</t>
  </si>
  <si>
    <t>million $</t>
  </si>
  <si>
    <t>$/KWh</t>
  </si>
  <si>
    <t>levelized costs of energy (LCOE</t>
  </si>
  <si>
    <t>$/RTh</t>
  </si>
  <si>
    <t>Geothermal power (and chiller)</t>
  </si>
  <si>
    <t>Investment</t>
  </si>
  <si>
    <t>$</t>
  </si>
  <si>
    <t>Electricity(A)</t>
  </si>
  <si>
    <t>kWh</t>
  </si>
  <si>
    <t>Operational Costs(B)</t>
  </si>
  <si>
    <t>Installation Pump  (C )</t>
  </si>
  <si>
    <t>Market value electricity&amp;heat (D)</t>
  </si>
  <si>
    <t>Total income (E=D)</t>
  </si>
  <si>
    <t>Total costs (F=B+C, including inflation)</t>
  </si>
  <si>
    <t>Gross revenue (G=E+F)</t>
  </si>
  <si>
    <t>Depreciation (H)</t>
  </si>
  <si>
    <t>interest (I)</t>
  </si>
  <si>
    <t>payment (J)</t>
  </si>
  <si>
    <t>Total loan charges (K=I+J)</t>
  </si>
  <si>
    <t>Taxable income (L=G+D+I),needs to be recovered from sales</t>
  </si>
  <si>
    <t>Tax  (M)</t>
  </si>
  <si>
    <t>Net revenue after taxes (N=G+K+M)</t>
  </si>
  <si>
    <t>Discounted revenue</t>
  </si>
  <si>
    <t>Discounted energy sales</t>
  </si>
  <si>
    <t>Total investment</t>
  </si>
  <si>
    <t>Project rate</t>
  </si>
  <si>
    <t>capex for fiscal stimulus</t>
  </si>
  <si>
    <t>fiscal lowering of Earnings before tax (EBT)</t>
  </si>
  <si>
    <t>NPV benefit to project</t>
  </si>
  <si>
    <t>Loan share</t>
  </si>
  <si>
    <t>Equity share</t>
  </si>
  <si>
    <t>geothermal heat</t>
  </si>
  <si>
    <t>Positive values = good for producer</t>
  </si>
  <si>
    <t>Dollar</t>
  </si>
  <si>
    <t>Total costs (F=(B+C), including inflation)</t>
  </si>
  <si>
    <t>other investements</t>
  </si>
  <si>
    <t xml:space="preserve">Mln $ </t>
  </si>
  <si>
    <t>other invesstments</t>
  </si>
  <si>
    <t>directheat</t>
  </si>
  <si>
    <t>directheat/chiller surface facilities</t>
  </si>
  <si>
    <t>direct heat investment</t>
  </si>
  <si>
    <t>direct heat variable investment</t>
  </si>
  <si>
    <t>heat production gross</t>
  </si>
  <si>
    <t>heat/cold net production</t>
  </si>
  <si>
    <t>load hours</t>
  </si>
  <si>
    <t>base  investment</t>
  </si>
  <si>
    <t>CAPEX</t>
  </si>
  <si>
    <t>variable investment</t>
  </si>
  <si>
    <t>base OPEX</t>
  </si>
  <si>
    <t xml:space="preserve"> fixed OPEX per unit installed</t>
  </si>
  <si>
    <t xml:space="preserve"> fixed O&amp;M</t>
  </si>
  <si>
    <t>power consumption</t>
  </si>
  <si>
    <t xml:space="preserve"> total power consumption</t>
  </si>
  <si>
    <t>cop</t>
  </si>
  <si>
    <t>heat or chill(A)</t>
  </si>
  <si>
    <t>reference LCOE for heat/chill, used for NPV</t>
  </si>
  <si>
    <t>direct heat OPEX per unit installed</t>
  </si>
  <si>
    <t xml:space="preserve"> base investment</t>
  </si>
  <si>
    <t>capex for heat production surface facilities</t>
  </si>
  <si>
    <t>fixed O&amp;M</t>
  </si>
  <si>
    <t>O&amp;M costs per unit of heat production installed</t>
  </si>
  <si>
    <t>heat/cold production net</t>
  </si>
  <si>
    <t>direct heat opex per unit heat</t>
  </si>
  <si>
    <t>direct heat/chill</t>
  </si>
  <si>
    <t xml:space="preserve">Calculation of LCOE of geothermal power/direct heat/chilling </t>
  </si>
  <si>
    <t>15-01-2025</t>
  </si>
  <si>
    <t>direct heat base OPEX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</si>
</sst>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\ #,##0.00;[Red]&quot;€&quot;\ \-#,##0.00"/>
    <numFmt numFmtId="165" formatCode="&quot;€&quot;\ #,##0_-;[Red]&quot;€&quot;\ #,##0\-"/>
    <numFmt numFmtId="166" formatCode="_-* #,##0.00_-;_-* #,##0.00\-;_-* &quot;-&quot;??_-;_-@_-"/>
    <numFmt numFmtId="167" formatCode="0.0000"/>
    <numFmt numFmtId="168" formatCode="0.0%"/>
    <numFmt numFmtId="169" formatCode="0.000000"/>
    <numFmt numFmtId="170" formatCode="0.000"/>
    <numFmt numFmtId="171" formatCode="0.0"/>
    <numFmt numFmtId="172" formatCode="0.000%"/>
    <numFmt numFmtId="173" formatCode="0_ ;[Red]\-0\ "/>
    <numFmt numFmtId="174" formatCode="&quot;€&quot;\ #,##0.0000;[Red]&quot;€&quot;\ \-#,##0.0000"/>
    <numFmt numFmtId="175" formatCode="[$$-409]#,##0_ ;[Red]\-[$$-409]#,##0\ "/>
  </numFmts>
  <fonts count="2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i/>
      <sz val="10"/>
      <name val="Arial"/>
      <family val="2"/>
    </font>
    <font>
      <sz val="11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3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3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9.8000000000000007"/>
      <color rgb="FFBCBEC4"/>
      <name val="JetBrains Mono"/>
      <family val="3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theme="9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166" fontId="1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8" fillId="11" borderId="35" applyNumberFormat="0" applyAlignment="0" applyProtection="0"/>
  </cellStyleXfs>
  <cellXfs count="236">
    <xf numFmtId="0" fontId="0" fillId="0" borderId="0" xfId="0"/>
    <xf numFmtId="0" fontId="3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169" fontId="0" fillId="0" borderId="0" xfId="0" applyNumberFormat="1"/>
    <xf numFmtId="3" fontId="0" fillId="0" borderId="0" xfId="0" applyNumberFormat="1"/>
    <xf numFmtId="0" fontId="2" fillId="0" borderId="3" xfId="0" applyFont="1" applyBorder="1"/>
    <xf numFmtId="0" fontId="2" fillId="0" borderId="1" xfId="0" applyFont="1" applyBorder="1"/>
    <xf numFmtId="3" fontId="2" fillId="0" borderId="0" xfId="0" applyNumberFormat="1" applyFont="1"/>
    <xf numFmtId="0" fontId="4" fillId="2" borderId="5" xfId="0" applyFont="1" applyFill="1" applyBorder="1" applyAlignment="1">
      <alignment horizontal="left"/>
    </xf>
    <xf numFmtId="0" fontId="0" fillId="2" borderId="10" xfId="0" applyFill="1" applyBorder="1"/>
    <xf numFmtId="0" fontId="2" fillId="2" borderId="14" xfId="0" applyFont="1" applyFill="1" applyBorder="1" applyAlignment="1">
      <alignment horizontal="right"/>
    </xf>
    <xf numFmtId="0" fontId="2" fillId="2" borderId="3" xfId="0" applyFont="1" applyFill="1" applyBorder="1"/>
    <xf numFmtId="0" fontId="2" fillId="2" borderId="7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/>
    <xf numFmtId="0" fontId="2" fillId="2" borderId="16" xfId="0" applyFont="1" applyFill="1" applyBorder="1"/>
    <xf numFmtId="3" fontId="2" fillId="2" borderId="7" xfId="0" applyNumberFormat="1" applyFont="1" applyFill="1" applyBorder="1"/>
    <xf numFmtId="3" fontId="2" fillId="2" borderId="16" xfId="0" applyNumberFormat="1" applyFont="1" applyFill="1" applyBorder="1"/>
    <xf numFmtId="0" fontId="5" fillId="2" borderId="7" xfId="0" applyFont="1" applyFill="1" applyBorder="1"/>
    <xf numFmtId="0" fontId="2" fillId="2" borderId="7" xfId="0" applyFont="1" applyFill="1" applyBorder="1" applyAlignment="1">
      <alignment horizontal="right"/>
    </xf>
    <xf numFmtId="0" fontId="2" fillId="2" borderId="3" xfId="0" applyFont="1" applyFill="1" applyBorder="1" applyAlignment="1">
      <alignment horizontal="right"/>
    </xf>
    <xf numFmtId="0" fontId="2" fillId="2" borderId="18" xfId="0" applyFont="1" applyFill="1" applyBorder="1"/>
    <xf numFmtId="0" fontId="0" fillId="2" borderId="19" xfId="0" applyFill="1" applyBorder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9" fillId="0" borderId="0" xfId="0" applyFont="1"/>
    <xf numFmtId="0" fontId="10" fillId="0" borderId="0" xfId="0" applyFont="1"/>
    <xf numFmtId="0" fontId="6" fillId="0" borderId="18" xfId="0" applyFont="1" applyBorder="1" applyAlignment="1">
      <alignment vertical="center"/>
    </xf>
    <xf numFmtId="0" fontId="6" fillId="0" borderId="8" xfId="0" applyFont="1" applyBorder="1" applyAlignment="1">
      <alignment vertical="center"/>
    </xf>
    <xf numFmtId="0" fontId="0" fillId="0" borderId="8" xfId="0" applyBorder="1"/>
    <xf numFmtId="0" fontId="0" fillId="0" borderId="22" xfId="0" applyBorder="1"/>
    <xf numFmtId="0" fontId="0" fillId="0" borderId="22" xfId="0" applyBorder="1" applyAlignment="1">
      <alignment wrapText="1"/>
    </xf>
    <xf numFmtId="0" fontId="0" fillId="0" borderId="8" xfId="0" applyBorder="1" applyAlignment="1">
      <alignment vertical="top"/>
    </xf>
    <xf numFmtId="0" fontId="5" fillId="0" borderId="8" xfId="0" applyFont="1" applyBorder="1"/>
    <xf numFmtId="0" fontId="0" fillId="0" borderId="20" xfId="0" applyBorder="1"/>
    <xf numFmtId="0" fontId="0" fillId="0" borderId="21" xfId="0" applyBorder="1"/>
    <xf numFmtId="0" fontId="1" fillId="2" borderId="8" xfId="0" applyFont="1" applyFill="1" applyBorder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2" borderId="23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13" fillId="0" borderId="19" xfId="0" applyFont="1" applyBorder="1" applyAlignment="1">
      <alignment vertical="center"/>
    </xf>
    <xf numFmtId="3" fontId="2" fillId="0" borderId="3" xfId="0" applyNumberFormat="1" applyFont="1" applyBorder="1"/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49" fontId="1" fillId="0" borderId="22" xfId="0" applyNumberFormat="1" applyFont="1" applyBorder="1" applyAlignment="1">
      <alignment horizontal="left" wrapText="1"/>
    </xf>
    <xf numFmtId="0" fontId="1" fillId="0" borderId="22" xfId="0" applyFont="1" applyBorder="1" applyAlignment="1">
      <alignment wrapText="1"/>
    </xf>
    <xf numFmtId="0" fontId="1" fillId="2" borderId="1" xfId="0" applyFont="1" applyFill="1" applyBorder="1"/>
    <xf numFmtId="0" fontId="1" fillId="2" borderId="3" xfId="0" applyFont="1" applyFill="1" applyBorder="1"/>
    <xf numFmtId="0" fontId="1" fillId="3" borderId="0" xfId="0" applyFont="1" applyFill="1" applyAlignment="1">
      <alignment horizontal="center"/>
    </xf>
    <xf numFmtId="164" fontId="0" fillId="0" borderId="0" xfId="0" applyNumberFormat="1"/>
    <xf numFmtId="174" fontId="0" fillId="0" borderId="0" xfId="0" applyNumberFormat="1"/>
    <xf numFmtId="0" fontId="1" fillId="0" borderId="0" xfId="0" applyFont="1"/>
    <xf numFmtId="0" fontId="3" fillId="0" borderId="0" xfId="0" applyFont="1" applyAlignment="1">
      <alignment shrinkToFit="1"/>
    </xf>
    <xf numFmtId="0" fontId="1" fillId="2" borderId="29" xfId="0" applyFont="1" applyFill="1" applyBorder="1"/>
    <xf numFmtId="0" fontId="1" fillId="2" borderId="8" xfId="2" applyFill="1" applyBorder="1"/>
    <xf numFmtId="0" fontId="1" fillId="5" borderId="0" xfId="0" applyFont="1" applyFill="1"/>
    <xf numFmtId="0" fontId="0" fillId="5" borderId="0" xfId="0" applyFill="1"/>
    <xf numFmtId="0" fontId="1" fillId="2" borderId="31" xfId="0" applyFont="1" applyFill="1" applyBorder="1"/>
    <xf numFmtId="0" fontId="13" fillId="5" borderId="0" xfId="0" applyFont="1" applyFill="1"/>
    <xf numFmtId="0" fontId="2" fillId="5" borderId="0" xfId="0" applyFont="1" applyFill="1"/>
    <xf numFmtId="0" fontId="1" fillId="2" borderId="26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1" fillId="2" borderId="14" xfId="0" applyFont="1" applyFill="1" applyBorder="1"/>
    <xf numFmtId="0" fontId="1" fillId="2" borderId="13" xfId="0" applyFont="1" applyFill="1" applyBorder="1"/>
    <xf numFmtId="0" fontId="1" fillId="2" borderId="15" xfId="0" applyFont="1" applyFill="1" applyBorder="1"/>
    <xf numFmtId="0" fontId="1" fillId="2" borderId="4" xfId="0" applyFont="1" applyFill="1" applyBorder="1"/>
    <xf numFmtId="0" fontId="1" fillId="2" borderId="4" xfId="0" applyFont="1" applyFill="1" applyBorder="1" applyAlignment="1">
      <alignment horizontal="left"/>
    </xf>
    <xf numFmtId="0" fontId="1" fillId="2" borderId="32" xfId="0" applyFont="1" applyFill="1" applyBorder="1" applyAlignment="1">
      <alignment horizontal="left"/>
    </xf>
    <xf numFmtId="167" fontId="0" fillId="0" borderId="0" xfId="0" applyNumberFormat="1"/>
    <xf numFmtId="0" fontId="1" fillId="3" borderId="0" xfId="3" applyNumberFormat="1" applyFont="1" applyFill="1" applyBorder="1" applyAlignment="1">
      <alignment horizontal="center"/>
    </xf>
    <xf numFmtId="0" fontId="1" fillId="2" borderId="11" xfId="0" applyFont="1" applyFill="1" applyBorder="1" applyAlignment="1">
      <alignment horizontal="left"/>
    </xf>
    <xf numFmtId="0" fontId="1" fillId="2" borderId="20" xfId="2" applyFill="1" applyBorder="1"/>
    <xf numFmtId="0" fontId="1" fillId="4" borderId="0" xfId="3" applyNumberFormat="1" applyFont="1" applyFill="1" applyBorder="1" applyAlignment="1">
      <alignment horizontal="center"/>
    </xf>
    <xf numFmtId="0" fontId="1" fillId="5" borderId="4" xfId="0" applyFont="1" applyFill="1" applyBorder="1"/>
    <xf numFmtId="0" fontId="0" fillId="5" borderId="22" xfId="0" applyFill="1" applyBorder="1"/>
    <xf numFmtId="0" fontId="1" fillId="2" borderId="25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22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center"/>
    </xf>
    <xf numFmtId="0" fontId="1" fillId="2" borderId="33" xfId="0" applyFont="1" applyFill="1" applyBorder="1"/>
    <xf numFmtId="0" fontId="1" fillId="5" borderId="0" xfId="3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shrinkToFit="1"/>
    </xf>
    <xf numFmtId="1" fontId="1" fillId="2" borderId="3" xfId="0" applyNumberFormat="1" applyFont="1" applyFill="1" applyBorder="1" applyAlignment="1">
      <alignment shrinkToFit="1"/>
    </xf>
    <xf numFmtId="3" fontId="2" fillId="2" borderId="0" xfId="0" applyNumberFormat="1" applyFont="1" applyFill="1" applyAlignment="1">
      <alignment horizontal="center"/>
    </xf>
    <xf numFmtId="3" fontId="2" fillId="2" borderId="3" xfId="0" applyNumberFormat="1" applyFont="1" applyFill="1" applyBorder="1" applyAlignment="1">
      <alignment horizontal="center"/>
    </xf>
    <xf numFmtId="0" fontId="11" fillId="6" borderId="0" xfId="0" applyFont="1" applyFill="1"/>
    <xf numFmtId="170" fontId="0" fillId="0" borderId="0" xfId="0" applyNumberFormat="1"/>
    <xf numFmtId="0" fontId="1" fillId="2" borderId="1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2" borderId="9" xfId="0" applyFont="1" applyFill="1" applyBorder="1"/>
    <xf numFmtId="0" fontId="2" fillId="2" borderId="8" xfId="0" applyFont="1" applyFill="1" applyBorder="1"/>
    <xf numFmtId="0" fontId="1" fillId="5" borderId="2" xfId="3" applyNumberFormat="1" applyFont="1" applyFill="1" applyBorder="1" applyAlignment="1">
      <alignment horizontal="center"/>
    </xf>
    <xf numFmtId="9" fontId="1" fillId="4" borderId="11" xfId="3" applyFont="1" applyFill="1" applyBorder="1" applyAlignment="1">
      <alignment horizontal="center"/>
    </xf>
    <xf numFmtId="170" fontId="2" fillId="2" borderId="11" xfId="0" applyNumberFormat="1" applyFont="1" applyFill="1" applyBorder="1" applyAlignment="1">
      <alignment horizontal="center"/>
    </xf>
    <xf numFmtId="0" fontId="2" fillId="5" borderId="8" xfId="0" applyFont="1" applyFill="1" applyBorder="1"/>
    <xf numFmtId="0" fontId="10" fillId="0" borderId="27" xfId="0" applyFont="1" applyBorder="1"/>
    <xf numFmtId="0" fontId="10" fillId="4" borderId="34" xfId="0" applyFont="1" applyFill="1" applyBorder="1"/>
    <xf numFmtId="0" fontId="1" fillId="2" borderId="0" xfId="2" applyFill="1"/>
    <xf numFmtId="0" fontId="1" fillId="2" borderId="26" xfId="2" applyFill="1" applyBorder="1"/>
    <xf numFmtId="0" fontId="2" fillId="2" borderId="29" xfId="0" applyFont="1" applyFill="1" applyBorder="1"/>
    <xf numFmtId="0" fontId="0" fillId="5" borderId="0" xfId="0" applyFill="1" applyAlignment="1">
      <alignment horizontal="center"/>
    </xf>
    <xf numFmtId="0" fontId="2" fillId="5" borderId="7" xfId="0" applyFont="1" applyFill="1" applyBorder="1"/>
    <xf numFmtId="0" fontId="0" fillId="0" borderId="18" xfId="0" applyBorder="1"/>
    <xf numFmtId="0" fontId="1" fillId="0" borderId="8" xfId="0" applyFont="1" applyBorder="1"/>
    <xf numFmtId="0" fontId="2" fillId="3" borderId="8" xfId="0" applyFont="1" applyFill="1" applyBorder="1"/>
    <xf numFmtId="0" fontId="0" fillId="3" borderId="22" xfId="0" applyFill="1" applyBorder="1"/>
    <xf numFmtId="0" fontId="1" fillId="8" borderId="20" xfId="0" applyFont="1" applyFill="1" applyBorder="1"/>
    <xf numFmtId="0" fontId="0" fillId="8" borderId="21" xfId="0" applyFill="1" applyBorder="1"/>
    <xf numFmtId="0" fontId="9" fillId="9" borderId="22" xfId="0" applyFont="1" applyFill="1" applyBorder="1" applyAlignment="1">
      <alignment wrapText="1"/>
    </xf>
    <xf numFmtId="0" fontId="6" fillId="0" borderId="0" xfId="0" applyFont="1"/>
    <xf numFmtId="0" fontId="10" fillId="6" borderId="30" xfId="0" applyFont="1" applyFill="1" applyBorder="1" applyAlignment="1">
      <alignment horizontal="left"/>
    </xf>
    <xf numFmtId="1" fontId="1" fillId="3" borderId="0" xfId="0" applyNumberFormat="1" applyFont="1" applyFill="1" applyAlignment="1">
      <alignment horizontal="center"/>
    </xf>
    <xf numFmtId="171" fontId="2" fillId="5" borderId="0" xfId="3" applyNumberFormat="1" applyFont="1" applyFill="1" applyBorder="1" applyAlignment="1">
      <alignment horizontal="center"/>
    </xf>
    <xf numFmtId="0" fontId="1" fillId="2" borderId="0" xfId="0" quotePrefix="1" applyFont="1" applyFill="1" applyAlignment="1">
      <alignment horizontal="center"/>
    </xf>
    <xf numFmtId="171" fontId="2" fillId="10" borderId="11" xfId="3" applyNumberFormat="1" applyFont="1" applyFill="1" applyBorder="1" applyAlignment="1">
      <alignment horizontal="center"/>
    </xf>
    <xf numFmtId="1" fontId="1" fillId="5" borderId="0" xfId="3" applyNumberFormat="1" applyFont="1" applyFill="1" applyBorder="1" applyAlignment="1">
      <alignment horizontal="center"/>
    </xf>
    <xf numFmtId="2" fontId="1" fillId="5" borderId="2" xfId="3" applyNumberFormat="1" applyFont="1" applyFill="1" applyBorder="1" applyAlignment="1">
      <alignment horizontal="center"/>
    </xf>
    <xf numFmtId="0" fontId="13" fillId="0" borderId="0" xfId="0" applyFont="1"/>
    <xf numFmtId="0" fontId="17" fillId="0" borderId="0" xfId="0" applyFont="1"/>
    <xf numFmtId="170" fontId="2" fillId="5" borderId="0" xfId="3" applyNumberFormat="1" applyFont="1" applyFill="1" applyBorder="1" applyAlignment="1">
      <alignment horizontal="center"/>
    </xf>
    <xf numFmtId="1" fontId="2" fillId="5" borderId="0" xfId="3" applyNumberFormat="1" applyFont="1" applyFill="1" applyBorder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1" fillId="5" borderId="1" xfId="0" applyFont="1" applyFill="1" applyBorder="1"/>
    <xf numFmtId="0" fontId="1" fillId="2" borderId="12" xfId="0" applyFont="1" applyFill="1" applyBorder="1"/>
    <xf numFmtId="0" fontId="1" fillId="5" borderId="3" xfId="0" applyFont="1" applyFill="1" applyBorder="1"/>
    <xf numFmtId="1" fontId="1" fillId="4" borderId="0" xfId="0" applyNumberFormat="1" applyFont="1" applyFill="1" applyAlignment="1">
      <alignment horizontal="center"/>
    </xf>
    <xf numFmtId="171" fontId="1" fillId="4" borderId="0" xfId="0" applyNumberFormat="1" applyFont="1" applyFill="1" applyAlignment="1">
      <alignment horizontal="center"/>
    </xf>
    <xf numFmtId="1" fontId="1" fillId="4" borderId="0" xfId="3" applyNumberFormat="1" applyFont="1" applyFill="1" applyBorder="1" applyAlignment="1">
      <alignment horizontal="center"/>
    </xf>
    <xf numFmtId="3" fontId="1" fillId="4" borderId="0" xfId="0" applyNumberFormat="1" applyFont="1" applyFill="1" applyAlignment="1">
      <alignment horizontal="center"/>
    </xf>
    <xf numFmtId="1" fontId="2" fillId="5" borderId="0" xfId="0" applyNumberFormat="1" applyFont="1" applyFill="1" applyAlignment="1">
      <alignment horizontal="center"/>
    </xf>
    <xf numFmtId="1" fontId="2" fillId="5" borderId="2" xfId="3" applyNumberFormat="1" applyFont="1" applyFill="1" applyBorder="1" applyAlignment="1">
      <alignment horizontal="center"/>
    </xf>
    <xf numFmtId="2" fontId="2" fillId="5" borderId="2" xfId="3" applyNumberFormat="1" applyFont="1" applyFill="1" applyBorder="1" applyAlignment="1">
      <alignment horizontal="center"/>
    </xf>
    <xf numFmtId="0" fontId="1" fillId="4" borderId="0" xfId="0" applyFont="1" applyFill="1"/>
    <xf numFmtId="0" fontId="1" fillId="2" borderId="0" xfId="0" applyFont="1" applyFill="1"/>
    <xf numFmtId="0" fontId="4" fillId="2" borderId="23" xfId="0" applyFont="1" applyFill="1" applyBorder="1" applyAlignment="1">
      <alignment horizontal="left"/>
    </xf>
    <xf numFmtId="0" fontId="1" fillId="2" borderId="26" xfId="0" applyFont="1" applyFill="1" applyBorder="1"/>
    <xf numFmtId="171" fontId="2" fillId="2" borderId="0" xfId="0" applyNumberFormat="1" applyFont="1" applyFill="1" applyAlignment="1">
      <alignment horizontal="center"/>
    </xf>
    <xf numFmtId="0" fontId="11" fillId="0" borderId="0" xfId="0" applyFont="1"/>
    <xf numFmtId="0" fontId="4" fillId="2" borderId="17" xfId="0" applyFont="1" applyFill="1" applyBorder="1" applyAlignment="1">
      <alignment horizontal="left"/>
    </xf>
    <xf numFmtId="0" fontId="4" fillId="2" borderId="17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0" xfId="0" applyFont="1" applyFill="1" applyBorder="1"/>
    <xf numFmtId="0" fontId="1" fillId="2" borderId="21" xfId="0" applyFont="1" applyFill="1" applyBorder="1" applyAlignment="1">
      <alignment horizontal="center"/>
    </xf>
    <xf numFmtId="2" fontId="11" fillId="2" borderId="0" xfId="0" applyNumberFormat="1" applyFont="1" applyFill="1" applyAlignment="1">
      <alignment horizontal="center"/>
    </xf>
    <xf numFmtId="2" fontId="11" fillId="2" borderId="26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1" fontId="19" fillId="5" borderId="35" xfId="4" applyNumberFormat="1" applyFont="1" applyFill="1" applyAlignment="1">
      <alignment horizontal="center"/>
    </xf>
    <xf numFmtId="0" fontId="1" fillId="2" borderId="2" xfId="0" applyFont="1" applyFill="1" applyBorder="1"/>
    <xf numFmtId="0" fontId="1" fillId="2" borderId="11" xfId="0" applyFont="1" applyFill="1" applyBorder="1"/>
    <xf numFmtId="11" fontId="0" fillId="0" borderId="0" xfId="0" applyNumberFormat="1"/>
    <xf numFmtId="9" fontId="0" fillId="3" borderId="11" xfId="0" applyNumberFormat="1" applyFill="1" applyBorder="1" applyAlignment="1">
      <alignment horizontal="center"/>
    </xf>
    <xf numFmtId="0" fontId="1" fillId="2" borderId="2" xfId="0" applyFont="1" applyFill="1" applyBorder="1" applyAlignment="1">
      <alignment horizontal="right"/>
    </xf>
    <xf numFmtId="0" fontId="1" fillId="2" borderId="33" xfId="0" applyFont="1" applyFill="1" applyBorder="1" applyAlignment="1">
      <alignment horizontal="left"/>
    </xf>
    <xf numFmtId="171" fontId="1" fillId="5" borderId="0" xfId="0" applyNumberFormat="1" applyFont="1" applyFill="1" applyAlignment="1">
      <alignment horizontal="center"/>
    </xf>
    <xf numFmtId="0" fontId="1" fillId="2" borderId="25" xfId="0" applyFont="1" applyFill="1" applyBorder="1"/>
    <xf numFmtId="0" fontId="1" fillId="0" borderId="22" xfId="0" applyFont="1" applyBorder="1"/>
    <xf numFmtId="0" fontId="1" fillId="2" borderId="22" xfId="0" applyFont="1" applyFill="1" applyBorder="1"/>
    <xf numFmtId="0" fontId="1" fillId="0" borderId="0" xfId="3" applyNumberFormat="1" applyFont="1" applyFill="1" applyBorder="1" applyAlignment="1">
      <alignment horizontal="center"/>
    </xf>
    <xf numFmtId="1" fontId="1" fillId="5" borderId="0" xfId="0" applyNumberFormat="1" applyFont="1" applyFill="1" applyAlignment="1">
      <alignment horizontal="center"/>
    </xf>
    <xf numFmtId="0" fontId="1" fillId="7" borderId="0" xfId="3" applyNumberFormat="1" applyFont="1" applyFill="1" applyBorder="1" applyAlignment="1">
      <alignment horizontal="center"/>
    </xf>
    <xf numFmtId="1" fontId="1" fillId="3" borderId="0" xfId="3" applyNumberFormat="1" applyFont="1" applyFill="1" applyBorder="1" applyAlignment="1">
      <alignment horizontal="center"/>
    </xf>
    <xf numFmtId="167" fontId="1" fillId="2" borderId="7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7" xfId="0" applyFont="1" applyFill="1" applyBorder="1"/>
    <xf numFmtId="167" fontId="1" fillId="2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/>
    </xf>
    <xf numFmtId="171" fontId="1" fillId="2" borderId="0" xfId="0" applyNumberFormat="1" applyFont="1" applyFill="1" applyAlignment="1">
      <alignment horizontal="center"/>
    </xf>
    <xf numFmtId="9" fontId="1" fillId="7" borderId="0" xfId="3" applyFont="1" applyFill="1" applyBorder="1" applyAlignment="1">
      <alignment horizontal="center"/>
    </xf>
    <xf numFmtId="11" fontId="1" fillId="2" borderId="0" xfId="0" applyNumberFormat="1" applyFont="1" applyFill="1" applyAlignment="1">
      <alignment horizontal="center"/>
    </xf>
    <xf numFmtId="0" fontId="1" fillId="2" borderId="28" xfId="0" applyFont="1" applyFill="1" applyBorder="1"/>
    <xf numFmtId="2" fontId="1" fillId="0" borderId="0" xfId="0" applyNumberFormat="1" applyFont="1"/>
    <xf numFmtId="0" fontId="1" fillId="5" borderId="22" xfId="0" applyFont="1" applyFill="1" applyBorder="1"/>
    <xf numFmtId="2" fontId="1" fillId="5" borderId="0" xfId="0" applyNumberFormat="1" applyFont="1" applyFill="1" applyAlignment="1">
      <alignment horizontal="center"/>
    </xf>
    <xf numFmtId="1" fontId="1" fillId="3" borderId="11" xfId="0" applyNumberFormat="1" applyFont="1" applyFill="1" applyBorder="1" applyAlignment="1">
      <alignment horizontal="center"/>
    </xf>
    <xf numFmtId="0" fontId="1" fillId="4" borderId="2" xfId="3" applyNumberFormat="1" applyFont="1" applyFill="1" applyBorder="1" applyAlignment="1">
      <alignment horizontal="center"/>
    </xf>
    <xf numFmtId="168" fontId="1" fillId="3" borderId="0" xfId="3" applyNumberFormat="1" applyFont="1" applyFill="1" applyBorder="1" applyAlignment="1">
      <alignment horizontal="center"/>
    </xf>
    <xf numFmtId="9" fontId="1" fillId="3" borderId="0" xfId="3" applyFont="1" applyFill="1" applyBorder="1" applyAlignment="1">
      <alignment horizontal="center"/>
    </xf>
    <xf numFmtId="9" fontId="1" fillId="2" borderId="0" xfId="3" applyFont="1" applyFill="1" applyBorder="1" applyAlignment="1">
      <alignment horizontal="center"/>
    </xf>
    <xf numFmtId="168" fontId="1" fillId="3" borderId="2" xfId="3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left"/>
    </xf>
    <xf numFmtId="0" fontId="1" fillId="2" borderId="7" xfId="0" applyFont="1" applyFill="1" applyBorder="1" applyAlignment="1">
      <alignment horizontal="left"/>
    </xf>
    <xf numFmtId="9" fontId="1" fillId="2" borderId="7" xfId="3" applyFont="1" applyFill="1" applyBorder="1" applyAlignment="1">
      <alignment horizontal="center"/>
    </xf>
    <xf numFmtId="0" fontId="1" fillId="3" borderId="26" xfId="0" applyFont="1" applyFill="1" applyBorder="1" applyAlignment="1">
      <alignment horizontal="center"/>
    </xf>
    <xf numFmtId="0" fontId="1" fillId="2" borderId="6" xfId="0" applyFont="1" applyFill="1" applyBorder="1"/>
    <xf numFmtId="3" fontId="1" fillId="2" borderId="0" xfId="0" applyNumberFormat="1" applyFont="1" applyFill="1" applyAlignment="1">
      <alignment horizontal="center"/>
    </xf>
    <xf numFmtId="3" fontId="1" fillId="2" borderId="0" xfId="0" applyNumberFormat="1" applyFont="1" applyFill="1"/>
    <xf numFmtId="3" fontId="1" fillId="2" borderId="3" xfId="0" applyNumberFormat="1" applyFont="1" applyFill="1" applyBorder="1"/>
    <xf numFmtId="0" fontId="1" fillId="2" borderId="1" xfId="0" applyFont="1" applyFill="1" applyBorder="1" applyAlignment="1">
      <alignment shrinkToFit="1"/>
    </xf>
    <xf numFmtId="3" fontId="1" fillId="2" borderId="0" xfId="0" applyNumberFormat="1" applyFont="1" applyFill="1" applyAlignment="1">
      <alignment shrinkToFit="1"/>
    </xf>
    <xf numFmtId="3" fontId="1" fillId="2" borderId="0" xfId="1" applyNumberFormat="1" applyFont="1" applyFill="1" applyBorder="1" applyAlignment="1">
      <alignment shrinkToFit="1"/>
    </xf>
    <xf numFmtId="3" fontId="1" fillId="2" borderId="2" xfId="0" applyNumberFormat="1" applyFont="1" applyFill="1" applyBorder="1"/>
    <xf numFmtId="3" fontId="1" fillId="2" borderId="2" xfId="1" applyNumberFormat="1" applyFont="1" applyFill="1" applyBorder="1"/>
    <xf numFmtId="3" fontId="1" fillId="2" borderId="13" xfId="0" applyNumberFormat="1" applyFont="1" applyFill="1" applyBorder="1"/>
    <xf numFmtId="0" fontId="1" fillId="0" borderId="1" xfId="0" applyFont="1" applyBorder="1"/>
    <xf numFmtId="165" fontId="1" fillId="2" borderId="1" xfId="0" applyNumberFormat="1" applyFont="1" applyFill="1" applyBorder="1"/>
    <xf numFmtId="173" fontId="1" fillId="2" borderId="15" xfId="0" applyNumberFormat="1" applyFont="1" applyFill="1" applyBorder="1"/>
    <xf numFmtId="1" fontId="1" fillId="2" borderId="2" xfId="0" applyNumberFormat="1" applyFont="1" applyFill="1" applyBorder="1"/>
    <xf numFmtId="3" fontId="1" fillId="2" borderId="11" xfId="0" applyNumberFormat="1" applyFont="1" applyFill="1" applyBorder="1"/>
    <xf numFmtId="172" fontId="1" fillId="0" borderId="0" xfId="3" applyNumberFormat="1" applyFont="1"/>
    <xf numFmtId="168" fontId="1" fillId="2" borderId="0" xfId="0" applyNumberFormat="1" applyFont="1" applyFill="1"/>
    <xf numFmtId="9" fontId="1" fillId="0" borderId="0" xfId="0" applyNumberFormat="1" applyFont="1"/>
    <xf numFmtId="3" fontId="1" fillId="5" borderId="0" xfId="0" applyNumberFormat="1" applyFont="1" applyFill="1"/>
    <xf numFmtId="9" fontId="1" fillId="0" borderId="0" xfId="3" applyFont="1" applyFill="1" applyBorder="1"/>
    <xf numFmtId="4" fontId="1" fillId="0" borderId="0" xfId="0" applyNumberFormat="1" applyFont="1"/>
    <xf numFmtId="1" fontId="1" fillId="0" borderId="0" xfId="0" applyNumberFormat="1" applyFont="1"/>
    <xf numFmtId="175" fontId="1" fillId="2" borderId="1" xfId="0" applyNumberFormat="1" applyFont="1" applyFill="1" applyBorder="1"/>
    <xf numFmtId="0" fontId="0" fillId="12" borderId="0" xfId="0" applyFill="1" applyAlignment="1">
      <alignment horizontal="center"/>
    </xf>
    <xf numFmtId="1" fontId="1" fillId="12" borderId="0" xfId="3" applyNumberFormat="1" applyFont="1" applyFill="1" applyBorder="1" applyAlignment="1">
      <alignment horizontal="center"/>
    </xf>
    <xf numFmtId="170" fontId="11" fillId="2" borderId="0" xfId="0" applyNumberFormat="1" applyFont="1" applyFill="1" applyAlignment="1">
      <alignment horizontal="center"/>
    </xf>
    <xf numFmtId="0" fontId="1" fillId="2" borderId="0" xfId="0" applyFont="1" applyFill="1" applyBorder="1"/>
    <xf numFmtId="2" fontId="1" fillId="4" borderId="0" xfId="3" applyNumberFormat="1" applyFont="1" applyFill="1" applyBorder="1" applyAlignment="1">
      <alignment horizontal="center"/>
    </xf>
    <xf numFmtId="167" fontId="11" fillId="2" borderId="0" xfId="0" applyNumberFormat="1" applyFont="1" applyFill="1" applyAlignment="1">
      <alignment horizontal="center"/>
    </xf>
    <xf numFmtId="168" fontId="0" fillId="3" borderId="0" xfId="0" applyNumberFormat="1" applyFill="1" applyAlignment="1">
      <alignment horizontal="center"/>
    </xf>
    <xf numFmtId="171" fontId="1" fillId="5" borderId="0" xfId="3" applyNumberFormat="1" applyFont="1" applyFill="1" applyBorder="1" applyAlignment="1">
      <alignment horizontal="center"/>
    </xf>
    <xf numFmtId="11" fontId="20" fillId="0" borderId="0" xfId="0" applyNumberFormat="1" applyFont="1" applyAlignment="1">
      <alignment vertical="center"/>
    </xf>
    <xf numFmtId="0" fontId="1" fillId="2" borderId="2" xfId="0" applyFont="1" applyFill="1" applyBorder="1" applyAlignment="1"/>
    <xf numFmtId="0" fontId="1" fillId="2" borderId="28" xfId="0" applyFont="1" applyFill="1" applyBorder="1" applyAlignment="1"/>
    <xf numFmtId="0" fontId="1" fillId="2" borderId="11" xfId="0" applyFont="1" applyFill="1" applyBorder="1" applyAlignment="1"/>
    <xf numFmtId="0" fontId="1" fillId="2" borderId="25" xfId="0" applyFont="1" applyFill="1" applyBorder="1" applyAlignment="1"/>
    <xf numFmtId="0" fontId="1" fillId="2" borderId="0" xfId="0" applyFont="1" applyFill="1" applyAlignment="1"/>
    <xf numFmtId="0" fontId="1" fillId="2" borderId="22" xfId="0" applyFont="1" applyFill="1" applyBorder="1" applyAlignment="1"/>
    <xf numFmtId="0" fontId="1" fillId="5" borderId="0" xfId="0" applyFont="1" applyFill="1" applyAlignment="1"/>
    <xf numFmtId="0" fontId="1" fillId="5" borderId="22" xfId="0" applyFont="1" applyFill="1" applyBorder="1" applyAlignment="1"/>
    <xf numFmtId="0" fontId="1" fillId="2" borderId="26" xfId="0" applyFont="1" applyFill="1" applyBorder="1" applyAlignment="1"/>
    <xf numFmtId="0" fontId="1" fillId="2" borderId="21" xfId="0" applyFont="1" applyFill="1" applyBorder="1" applyAlignment="1"/>
    <xf numFmtId="0" fontId="0" fillId="5" borderId="0" xfId="0" applyFill="1" applyAlignment="1"/>
    <xf numFmtId="0" fontId="0" fillId="2" borderId="22" xfId="0" applyFill="1" applyBorder="1" applyAlignment="1"/>
    <xf numFmtId="0" fontId="4" fillId="2" borderId="23" xfId="0" applyFont="1" applyFill="1" applyBorder="1" applyAlignment="1">
      <alignment horizontal="left"/>
    </xf>
    <xf numFmtId="0" fontId="4" fillId="2" borderId="24" xfId="0" applyFont="1" applyFill="1" applyBorder="1" applyAlignment="1">
      <alignment horizontal="left"/>
    </xf>
  </cellXfs>
  <cellStyles count="5">
    <cellStyle name="Comma" xfId="1" builtinId="3"/>
    <cellStyle name="Input" xfId="4" builtinId="20"/>
    <cellStyle name="Normal" xfId="0" builtinId="0"/>
    <cellStyle name="Normal_factsheet01" xfId="2" xr:uid="{00000000-0005-0000-0000-000002000000}"/>
    <cellStyle name="Percent" xfId="3" builtinId="5"/>
  </cellStyles>
  <dxfs count="6">
    <dxf>
      <font>
        <color rgb="FF006100"/>
      </font>
      <fill>
        <patternFill>
          <bgColor rgb="FF92D050"/>
        </patternFill>
      </fill>
    </dxf>
    <dxf>
      <fill>
        <patternFill>
          <bgColor rgb="FFCCFFCC"/>
        </patternFill>
      </fill>
    </dxf>
    <dxf>
      <font>
        <color rgb="FF006100"/>
      </font>
      <fill>
        <patternFill>
          <bgColor rgb="FF92D050"/>
        </patternFill>
      </fill>
    </dxf>
    <dxf>
      <fill>
        <patternFill>
          <bgColor rgb="FFCCFFCC"/>
        </patternFill>
      </fill>
    </dxf>
    <dxf>
      <font>
        <color rgb="FF006100"/>
      </font>
      <fill>
        <patternFill>
          <bgColor rgb="FF92D050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FF"/>
      <color rgb="FFFFCC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16</xdr:row>
      <xdr:rowOff>57150</xdr:rowOff>
    </xdr:from>
    <xdr:to>
      <xdr:col>2</xdr:col>
      <xdr:colOff>4529142</xdr:colOff>
      <xdr:row>23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" y="3152775"/>
          <a:ext cx="5453067" cy="1095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28"/>
  <sheetViews>
    <sheetView workbookViewId="0">
      <selection activeCell="K12" sqref="K12"/>
    </sheetView>
  </sheetViews>
  <sheetFormatPr defaultRowHeight="12.75"/>
  <cols>
    <col min="1" max="1" width="11.42578125" customWidth="1"/>
    <col min="2" max="2" width="15.42578125" customWidth="1"/>
    <col min="3" max="3" width="69.28515625" customWidth="1"/>
    <col min="4" max="256" width="11.42578125" customWidth="1"/>
  </cols>
  <sheetData>
    <row r="1" spans="2:16" s="24" customFormat="1" ht="26.25" customHeight="1" thickBot="1">
      <c r="E1" s="25"/>
      <c r="F1" s="26"/>
    </row>
    <row r="2" spans="2:16" s="24" customFormat="1" ht="17.25" customHeight="1">
      <c r="B2" s="31"/>
      <c r="C2" s="47" t="s">
        <v>243</v>
      </c>
    </row>
    <row r="3" spans="2:16" s="24" customFormat="1" ht="33" customHeight="1">
      <c r="B3" s="32"/>
      <c r="C3" s="115" t="s">
        <v>0</v>
      </c>
      <c r="E3" s="26"/>
      <c r="F3" s="26"/>
      <c r="K3" s="27"/>
      <c r="L3" s="26"/>
      <c r="M3" s="26"/>
      <c r="N3" s="28"/>
      <c r="O3" s="26"/>
      <c r="P3" s="26"/>
    </row>
    <row r="4" spans="2:16">
      <c r="B4" s="33"/>
      <c r="C4" s="34"/>
    </row>
    <row r="5" spans="2:16">
      <c r="B5" s="33"/>
      <c r="C5" s="34"/>
    </row>
    <row r="6" spans="2:16">
      <c r="B6" s="33" t="s">
        <v>1</v>
      </c>
      <c r="C6" s="52" t="s">
        <v>2</v>
      </c>
    </row>
    <row r="7" spans="2:16">
      <c r="B7" s="33" t="s">
        <v>3</v>
      </c>
      <c r="C7" s="51" t="s">
        <v>244</v>
      </c>
    </row>
    <row r="8" spans="2:16" ht="25.5">
      <c r="B8" s="110" t="s">
        <v>4</v>
      </c>
      <c r="C8" s="52" t="s">
        <v>5</v>
      </c>
    </row>
    <row r="9" spans="2:16">
      <c r="B9" s="110" t="s">
        <v>6</v>
      </c>
      <c r="C9" s="52">
        <v>2025.1</v>
      </c>
    </row>
    <row r="10" spans="2:16">
      <c r="B10" s="33"/>
      <c r="C10" s="35"/>
    </row>
    <row r="11" spans="2:16">
      <c r="B11" s="36" t="s">
        <v>7</v>
      </c>
      <c r="C11" s="35" t="s">
        <v>8</v>
      </c>
    </row>
    <row r="12" spans="2:16" ht="13.5" thickBot="1">
      <c r="B12" s="37" t="s">
        <v>9</v>
      </c>
      <c r="C12" s="162"/>
    </row>
    <row r="13" spans="2:16">
      <c r="B13" s="22" t="s">
        <v>10</v>
      </c>
      <c r="C13" s="23"/>
    </row>
    <row r="14" spans="2:16">
      <c r="B14" s="111" t="s">
        <v>11</v>
      </c>
      <c r="C14" s="112"/>
    </row>
    <row r="15" spans="2:16" ht="13.5" thickBot="1">
      <c r="B15" s="113" t="s">
        <v>12</v>
      </c>
      <c r="C15" s="114"/>
    </row>
    <row r="16" spans="2:16">
      <c r="B16" s="33"/>
      <c r="C16" s="34"/>
    </row>
    <row r="17" spans="2:3">
      <c r="B17" s="33"/>
      <c r="C17" s="34"/>
    </row>
    <row r="18" spans="2:3">
      <c r="B18" s="33"/>
      <c r="C18" s="34"/>
    </row>
    <row r="19" spans="2:3">
      <c r="B19" s="33"/>
      <c r="C19" s="34"/>
    </row>
    <row r="20" spans="2:3">
      <c r="B20" s="33"/>
      <c r="C20" s="34"/>
    </row>
    <row r="21" spans="2:3">
      <c r="B21" s="33"/>
      <c r="C21" s="34"/>
    </row>
    <row r="22" spans="2:3">
      <c r="B22" s="33"/>
      <c r="C22" s="34"/>
    </row>
    <row r="23" spans="2:3">
      <c r="B23" s="33"/>
      <c r="C23" s="34"/>
    </row>
    <row r="24" spans="2:3">
      <c r="B24" s="33"/>
      <c r="C24" s="34"/>
    </row>
    <row r="25" spans="2:3">
      <c r="B25" s="33"/>
      <c r="C25" s="34"/>
    </row>
    <row r="26" spans="2:3">
      <c r="B26" s="33"/>
      <c r="C26" s="34"/>
    </row>
    <row r="27" spans="2:3">
      <c r="B27" s="33"/>
      <c r="C27" s="34"/>
    </row>
    <row r="28" spans="2:3" ht="13.5" thickBot="1">
      <c r="B28" s="38"/>
      <c r="C28" s="39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R84"/>
  <sheetViews>
    <sheetView tabSelected="1" zoomScaleNormal="100" zoomScaleSheetLayoutView="150" workbookViewId="0">
      <selection activeCell="N29" sqref="N29"/>
    </sheetView>
  </sheetViews>
  <sheetFormatPr defaultColWidth="8.85546875" defaultRowHeight="12.75"/>
  <cols>
    <col min="1" max="1" width="0.85546875" customWidth="1"/>
    <col min="2" max="2" width="41.42578125" bestFit="1" customWidth="1"/>
    <col min="3" max="3" width="6.7109375" bestFit="1" customWidth="1"/>
    <col min="4" max="4" width="12.42578125" style="43" customWidth="1"/>
    <col min="5" max="5" width="17.42578125" style="43" bestFit="1" customWidth="1"/>
    <col min="6" max="6" width="19.28515625" customWidth="1"/>
    <col min="7" max="7" width="28.7109375" style="43" customWidth="1"/>
    <col min="8" max="8" width="30.42578125" customWidth="1"/>
    <col min="9" max="9" width="4.28515625" customWidth="1"/>
    <col min="10" max="10" width="30.85546875" customWidth="1"/>
    <col min="11" max="11" width="11.42578125" customWidth="1"/>
    <col min="12" max="12" width="16.28515625" bestFit="1" customWidth="1"/>
  </cols>
  <sheetData>
    <row r="1" spans="1:18" s="29" customFormat="1" ht="18.75" thickBot="1">
      <c r="A1" s="29" t="str">
        <f>Colofon!C2</f>
        <v xml:space="preserve">Calculation of LCOE of geothermal power/direct heat/chilling </v>
      </c>
      <c r="D1" s="41"/>
      <c r="E1" s="41"/>
      <c r="G1" s="41"/>
    </row>
    <row r="2" spans="1:18" s="30" customFormat="1" ht="24" thickBot="1">
      <c r="A2" s="30" t="str">
        <f>Colofon!C3</f>
        <v xml:space="preserve">Geothermal power </v>
      </c>
      <c r="B2" s="30" t="s">
        <v>13</v>
      </c>
      <c r="D2" s="42"/>
      <c r="E2" s="117" t="s">
        <v>14</v>
      </c>
      <c r="F2" s="102"/>
      <c r="G2" s="103" t="s">
        <v>217</v>
      </c>
      <c r="J2" s="30" t="s">
        <v>15</v>
      </c>
    </row>
    <row r="3" spans="1:18" s="30" customFormat="1" ht="24" thickBot="1">
      <c r="D3" s="42"/>
      <c r="E3" s="117" t="s">
        <v>16</v>
      </c>
      <c r="F3" s="102"/>
      <c r="G3" s="103" t="s">
        <v>17</v>
      </c>
    </row>
    <row r="4" spans="1:18" ht="13.5" thickBot="1">
      <c r="J4" s="2" t="s">
        <v>18</v>
      </c>
      <c r="K4" s="2" t="s">
        <v>19</v>
      </c>
      <c r="L4" s="2" t="s">
        <v>20</v>
      </c>
    </row>
    <row r="5" spans="1:18">
      <c r="B5" s="9" t="s">
        <v>21</v>
      </c>
      <c r="C5" s="141" t="s">
        <v>22</v>
      </c>
      <c r="D5" s="44" t="s">
        <v>19</v>
      </c>
      <c r="E5" s="44" t="s">
        <v>20</v>
      </c>
      <c r="F5" s="234" t="s">
        <v>23</v>
      </c>
      <c r="G5" s="234"/>
      <c r="H5" s="235"/>
      <c r="J5" s="62" t="s">
        <v>24</v>
      </c>
      <c r="K5" s="139">
        <v>140000</v>
      </c>
      <c r="L5" s="62" t="s">
        <v>25</v>
      </c>
      <c r="Q5" s="58"/>
      <c r="R5" s="58"/>
    </row>
    <row r="6" spans="1:18">
      <c r="B6" s="40" t="s">
        <v>26</v>
      </c>
      <c r="C6" s="140">
        <v>1</v>
      </c>
      <c r="D6" s="132">
        <f>400/3.6</f>
        <v>111.11111111111111</v>
      </c>
      <c r="E6" s="49" t="s">
        <v>27</v>
      </c>
      <c r="F6" s="224" t="s">
        <v>28</v>
      </c>
      <c r="G6" s="224"/>
      <c r="H6" s="225"/>
      <c r="J6" s="62" t="s">
        <v>29</v>
      </c>
      <c r="K6" s="122" cm="1">
        <f t="array" ref="K6">heatCapacity(Tx,salinity*0.000001)</f>
        <v>3587.1393140240302</v>
      </c>
      <c r="L6" s="68" t="s">
        <v>30</v>
      </c>
      <c r="R6" s="75"/>
    </row>
    <row r="7" spans="1:18" ht="16.5">
      <c r="B7" s="40" t="s">
        <v>31</v>
      </c>
      <c r="C7" s="140">
        <v>1</v>
      </c>
      <c r="D7" s="132">
        <v>2300</v>
      </c>
      <c r="E7" s="49" t="s">
        <v>32</v>
      </c>
      <c r="F7" s="140" t="s">
        <v>33</v>
      </c>
      <c r="G7" s="140"/>
      <c r="H7" s="163"/>
      <c r="J7" s="65" t="s">
        <v>34</v>
      </c>
      <c r="K7" s="122" cm="1">
        <f t="array" ref="K7">density(tvd*9.8*1000,Tx,salinity*0.000001)</f>
        <v>1075.5534446692</v>
      </c>
      <c r="L7" s="68" t="s">
        <v>35</v>
      </c>
      <c r="R7" s="75"/>
    </row>
    <row r="8" spans="1:18" ht="16.5">
      <c r="B8" s="40" t="s">
        <v>36</v>
      </c>
      <c r="C8" s="140">
        <v>1</v>
      </c>
      <c r="D8" s="133">
        <f>2663/tvd</f>
        <v>1.1578260869565218</v>
      </c>
      <c r="E8" s="120" t="s">
        <v>37</v>
      </c>
      <c r="F8" s="140" t="s">
        <v>38</v>
      </c>
      <c r="G8" s="140"/>
      <c r="H8" s="163"/>
      <c r="J8" s="124"/>
      <c r="K8" s="164"/>
      <c r="L8" s="50"/>
      <c r="R8" s="75"/>
    </row>
    <row r="9" spans="1:18" ht="16.5">
      <c r="A9" s="58"/>
      <c r="B9" s="40" t="s">
        <v>39</v>
      </c>
      <c r="C9" s="140">
        <v>1</v>
      </c>
      <c r="D9" s="165">
        <f>tvd*D8</f>
        <v>2663</v>
      </c>
      <c r="E9" s="49" t="s">
        <v>32</v>
      </c>
      <c r="F9" s="140" t="s">
        <v>40</v>
      </c>
      <c r="G9" s="140"/>
      <c r="H9" s="163"/>
      <c r="J9" s="125" t="s">
        <v>41</v>
      </c>
      <c r="K9" s="164"/>
      <c r="L9" s="50"/>
      <c r="R9" s="75"/>
    </row>
    <row r="10" spans="1:18">
      <c r="A10" s="58"/>
      <c r="B10" s="40" t="s">
        <v>42</v>
      </c>
      <c r="C10" s="140">
        <v>1</v>
      </c>
      <c r="D10" s="133">
        <v>90</v>
      </c>
      <c r="E10" s="49" t="s">
        <v>43</v>
      </c>
      <c r="F10" s="226" t="s">
        <v>44</v>
      </c>
      <c r="G10" s="226"/>
      <c r="H10" s="227"/>
      <c r="J10" s="62" t="s">
        <v>41</v>
      </c>
      <c r="K10" s="166">
        <v>0.6</v>
      </c>
      <c r="L10" s="49" t="str">
        <f>"-"</f>
        <v>-</v>
      </c>
      <c r="R10" s="75"/>
    </row>
    <row r="11" spans="1:18">
      <c r="B11" s="40" t="s">
        <v>45</v>
      </c>
      <c r="C11" s="140">
        <v>1</v>
      </c>
      <c r="D11" s="133">
        <v>0</v>
      </c>
      <c r="E11" s="49" t="s">
        <v>43</v>
      </c>
      <c r="F11" s="140" t="s">
        <v>46</v>
      </c>
      <c r="G11" s="140"/>
      <c r="H11" s="163"/>
      <c r="J11" s="58"/>
      <c r="K11" s="164"/>
      <c r="L11" s="50"/>
      <c r="R11" s="75"/>
    </row>
    <row r="12" spans="1:18">
      <c r="B12" s="40" t="s">
        <v>47</v>
      </c>
      <c r="C12" s="140">
        <v>1</v>
      </c>
      <c r="D12" s="133">
        <v>0</v>
      </c>
      <c r="E12" s="49" t="s">
        <v>43</v>
      </c>
      <c r="F12" s="140" t="s">
        <v>48</v>
      </c>
      <c r="G12" s="140"/>
      <c r="H12" s="163"/>
      <c r="J12" s="58"/>
      <c r="K12" s="164"/>
      <c r="L12" s="50"/>
      <c r="R12" s="75"/>
    </row>
    <row r="13" spans="1:18" ht="15.75" customHeight="1">
      <c r="B13" s="40" t="s">
        <v>49</v>
      </c>
      <c r="C13" s="140">
        <v>1</v>
      </c>
      <c r="D13" s="160">
        <f>Ts+tvd*0.001*tgrad -D12</f>
        <v>90</v>
      </c>
      <c r="E13" s="49" t="s">
        <v>43</v>
      </c>
      <c r="F13" s="140" t="s">
        <v>50</v>
      </c>
      <c r="G13" s="140"/>
      <c r="H13" s="163"/>
      <c r="J13" s="144" t="s">
        <v>51</v>
      </c>
      <c r="K13" s="164"/>
      <c r="L13" s="50"/>
      <c r="R13" s="75"/>
    </row>
    <row r="14" spans="1:18">
      <c r="B14" s="40" t="s">
        <v>52</v>
      </c>
      <c r="C14" s="140">
        <v>1</v>
      </c>
      <c r="D14" s="76">
        <v>50</v>
      </c>
      <c r="E14" s="49" t="s">
        <v>43</v>
      </c>
      <c r="F14" s="140" t="s">
        <v>53</v>
      </c>
      <c r="G14" s="140"/>
      <c r="H14" s="163"/>
      <c r="J14" s="62" t="s">
        <v>54</v>
      </c>
      <c r="K14" s="79">
        <v>25</v>
      </c>
      <c r="L14" s="68" t="s">
        <v>43</v>
      </c>
      <c r="R14" s="75"/>
    </row>
    <row r="15" spans="1:18">
      <c r="B15" s="40" t="s">
        <v>55</v>
      </c>
      <c r="C15" s="140">
        <v>1</v>
      </c>
      <c r="D15" s="167">
        <v>15</v>
      </c>
      <c r="E15" s="49" t="s">
        <v>56</v>
      </c>
      <c r="F15" s="222" t="s">
        <v>57</v>
      </c>
      <c r="G15" s="222"/>
      <c r="H15" s="223"/>
      <c r="J15" s="62" t="s">
        <v>58</v>
      </c>
      <c r="K15" s="79">
        <v>0.6</v>
      </c>
      <c r="L15" s="49" t="str">
        <f>"-"</f>
        <v>-</v>
      </c>
      <c r="R15" s="75"/>
    </row>
    <row r="16" spans="1:18">
      <c r="B16" s="96" t="s">
        <v>59</v>
      </c>
      <c r="C16" s="108"/>
      <c r="D16" s="168"/>
      <c r="E16" s="169"/>
      <c r="F16" s="170"/>
      <c r="G16" s="169"/>
      <c r="H16" s="10"/>
      <c r="J16" s="62" t="s">
        <v>60</v>
      </c>
      <c r="K16" s="171">
        <f>(Tx-Tambient)/(Tx+Tambient +2*273.15)*K15</f>
        <v>5.8974746711023748E-2</v>
      </c>
      <c r="L16" s="49" t="str">
        <f>"-"</f>
        <v>-</v>
      </c>
      <c r="R16" s="75"/>
    </row>
    <row r="17" spans="2:18" ht="14.25">
      <c r="B17" s="60" t="s">
        <v>61</v>
      </c>
      <c r="C17" s="140">
        <f t="shared" ref="C17:C27" si="0">IF(existingwell="yes",0,1)</f>
        <v>1</v>
      </c>
      <c r="D17" s="85">
        <v>1.5</v>
      </c>
      <c r="E17" s="94" t="str">
        <f>"-"</f>
        <v>-</v>
      </c>
      <c r="F17" s="155" t="s">
        <v>62</v>
      </c>
      <c r="G17" s="155"/>
      <c r="H17" s="161"/>
      <c r="J17" s="116"/>
      <c r="K17" s="172"/>
      <c r="L17" s="50"/>
      <c r="R17" s="75"/>
    </row>
    <row r="18" spans="2:18" ht="16.5" customHeight="1">
      <c r="B18" s="40" t="s">
        <v>63</v>
      </c>
      <c r="C18" s="140">
        <f t="shared" si="0"/>
        <v>1</v>
      </c>
      <c r="D18" s="173">
        <f>wellcostscaling*(700*depth + 0.2*depth^2+250000)*10^-6</f>
        <v>5.298620699999999</v>
      </c>
      <c r="E18" s="49" t="s">
        <v>64</v>
      </c>
      <c r="F18" s="140" t="s">
        <v>65</v>
      </c>
      <c r="G18" s="140"/>
      <c r="H18" s="163"/>
      <c r="J18" s="144" t="s">
        <v>66</v>
      </c>
      <c r="K18" s="164"/>
      <c r="L18" s="50"/>
      <c r="R18" s="75"/>
    </row>
    <row r="19" spans="2:18" ht="13.5" customHeight="1">
      <c r="B19" s="40" t="s">
        <v>67</v>
      </c>
      <c r="C19" s="140">
        <f t="shared" si="0"/>
        <v>1</v>
      </c>
      <c r="D19" s="55">
        <v>0</v>
      </c>
      <c r="E19" s="49" t="s">
        <v>64</v>
      </c>
      <c r="F19" s="140" t="s">
        <v>68</v>
      </c>
      <c r="G19" s="140"/>
      <c r="H19" s="163"/>
      <c r="J19" s="62" t="s">
        <v>69</v>
      </c>
      <c r="K19" s="174">
        <v>0.4</v>
      </c>
      <c r="L19" s="94" t="s">
        <v>70</v>
      </c>
      <c r="R19" s="75"/>
    </row>
    <row r="20" spans="2:18">
      <c r="B20" s="40" t="s">
        <v>216</v>
      </c>
      <c r="C20" s="140">
        <f t="shared" si="0"/>
        <v>1</v>
      </c>
      <c r="D20" s="76">
        <v>0.5</v>
      </c>
      <c r="E20" s="49" t="s">
        <v>215</v>
      </c>
      <c r="F20" s="226" t="s">
        <v>214</v>
      </c>
      <c r="G20" s="226"/>
      <c r="H20" s="227"/>
      <c r="J20" s="62" t="s">
        <v>71</v>
      </c>
      <c r="K20" s="174">
        <v>0.1</v>
      </c>
      <c r="L20" s="49" t="s">
        <v>70</v>
      </c>
      <c r="R20" s="75"/>
    </row>
    <row r="21" spans="2:18">
      <c r="B21" s="40" t="s">
        <v>72</v>
      </c>
      <c r="C21" s="140">
        <f t="shared" si="0"/>
        <v>1</v>
      </c>
      <c r="D21" s="76">
        <v>2</v>
      </c>
      <c r="E21" s="49" t="str">
        <f>"-"</f>
        <v>-</v>
      </c>
      <c r="F21" s="140" t="s">
        <v>73</v>
      </c>
      <c r="G21" s="140"/>
      <c r="H21" s="163"/>
    </row>
    <row r="22" spans="2:18" ht="15.75">
      <c r="B22" s="40" t="s">
        <v>74</v>
      </c>
      <c r="C22" s="154">
        <f t="shared" si="0"/>
        <v>1</v>
      </c>
      <c r="D22" s="119">
        <f>IF(existingwell="no", (StimCosts+DrillCosts)*nrofwells+pumpcost2,0)</f>
        <v>11.097241399999998</v>
      </c>
      <c r="E22" s="49" t="s">
        <v>75</v>
      </c>
      <c r="F22" s="140" t="s">
        <v>76</v>
      </c>
      <c r="G22" s="140"/>
      <c r="H22" s="163"/>
      <c r="J22" s="92" t="s">
        <v>77</v>
      </c>
    </row>
    <row r="23" spans="2:18">
      <c r="B23" s="60" t="s">
        <v>78</v>
      </c>
      <c r="C23" s="140">
        <f t="shared" si="0"/>
        <v>1</v>
      </c>
      <c r="D23" s="121">
        <v>67</v>
      </c>
      <c r="E23" s="94" t="s">
        <v>79</v>
      </c>
      <c r="F23" s="155"/>
      <c r="G23" s="155"/>
      <c r="H23" s="161"/>
      <c r="J23" s="63" t="s">
        <v>80</v>
      </c>
      <c r="K23" s="175">
        <f>60*60*24*365.25</f>
        <v>31557600</v>
      </c>
      <c r="L23" s="68" t="s">
        <v>81</v>
      </c>
    </row>
    <row r="24" spans="2:18">
      <c r="B24" s="40" t="s">
        <v>82</v>
      </c>
      <c r="C24" s="140">
        <f t="shared" si="0"/>
        <v>1</v>
      </c>
      <c r="D24" s="119">
        <f>IF(existingwell="no",D23*100000*flowrate*0.001*0.001/etaESP,0.01)</f>
        <v>1240.7407407407406</v>
      </c>
      <c r="E24" s="49" t="s">
        <v>83</v>
      </c>
      <c r="F24" s="140"/>
      <c r="G24" s="140"/>
      <c r="H24" s="163"/>
      <c r="J24" s="63" t="s">
        <v>84</v>
      </c>
      <c r="K24" s="175">
        <f>K23*30</f>
        <v>946728000</v>
      </c>
      <c r="L24" s="68" t="s">
        <v>81</v>
      </c>
    </row>
    <row r="25" spans="2:18">
      <c r="B25" s="40" t="s">
        <v>85</v>
      </c>
      <c r="C25" s="140">
        <f t="shared" si="0"/>
        <v>1</v>
      </c>
      <c r="D25" s="220">
        <f>(thermalpower_power+heat_mwthgross)*1000/D24</f>
        <v>13.820274790591728</v>
      </c>
      <c r="E25" s="120" t="s">
        <v>86</v>
      </c>
      <c r="F25" s="140" t="s">
        <v>87</v>
      </c>
      <c r="G25" s="140"/>
      <c r="H25" s="163"/>
    </row>
    <row r="26" spans="2:18" ht="12" customHeight="1">
      <c r="B26" s="40" t="s">
        <v>88</v>
      </c>
      <c r="C26" s="140">
        <f t="shared" si="0"/>
        <v>1</v>
      </c>
      <c r="D26" s="79">
        <v>8</v>
      </c>
      <c r="E26" s="49" t="s">
        <v>89</v>
      </c>
      <c r="F26" s="140" t="s">
        <v>90</v>
      </c>
      <c r="G26" s="140"/>
      <c r="H26" s="163"/>
      <c r="R26" s="75"/>
    </row>
    <row r="27" spans="2:18" ht="12.75" customHeight="1">
      <c r="B27" s="86" t="s">
        <v>91</v>
      </c>
      <c r="C27" s="154">
        <f t="shared" si="0"/>
        <v>1</v>
      </c>
      <c r="D27" s="123">
        <f>IF(existingwell="yes",0,D26/D25)</f>
        <v>0.57885969137502746</v>
      </c>
      <c r="E27" s="95" t="s">
        <v>92</v>
      </c>
      <c r="F27" s="222" t="s">
        <v>93</v>
      </c>
      <c r="G27" s="222"/>
      <c r="H27" s="223"/>
      <c r="J27" s="40" t="s">
        <v>219</v>
      </c>
      <c r="K27" s="152">
        <v>3000</v>
      </c>
      <c r="L27" s="107" t="s">
        <v>125</v>
      </c>
    </row>
    <row r="28" spans="2:18" ht="15" customHeight="1">
      <c r="B28" s="101" t="s">
        <v>94</v>
      </c>
      <c r="C28" s="66"/>
      <c r="D28" s="107"/>
      <c r="E28" s="107"/>
      <c r="F28" s="63"/>
      <c r="G28" s="107"/>
      <c r="H28" s="81"/>
      <c r="J28" s="40" t="s">
        <v>220</v>
      </c>
      <c r="K28" s="118">
        <v>300</v>
      </c>
      <c r="L28" s="49" t="s">
        <v>127</v>
      </c>
    </row>
    <row r="29" spans="2:18">
      <c r="B29" s="60" t="s">
        <v>95</v>
      </c>
      <c r="C29" s="155">
        <f>IF(ooperation_choice="power",0,1)</f>
        <v>1</v>
      </c>
      <c r="D29" s="99">
        <v>0.99</v>
      </c>
      <c r="E29" s="94" t="s">
        <v>96</v>
      </c>
      <c r="F29" s="155" t="s">
        <v>97</v>
      </c>
      <c r="G29" s="155"/>
      <c r="H29" s="161"/>
      <c r="J29" s="40" t="s">
        <v>245</v>
      </c>
      <c r="K29" s="134">
        <v>0</v>
      </c>
      <c r="L29" s="49" t="s">
        <v>130</v>
      </c>
    </row>
    <row r="30" spans="2:18" ht="14.25" customHeight="1">
      <c r="B30" s="86" t="s">
        <v>98</v>
      </c>
      <c r="C30" s="154">
        <f>IF(ooperation_choice="heat",0,1)</f>
        <v>1</v>
      </c>
      <c r="D30" s="98">
        <f>Treinject</f>
        <v>50</v>
      </c>
      <c r="E30" s="95" t="s">
        <v>43</v>
      </c>
      <c r="F30" s="154" t="s">
        <v>99</v>
      </c>
      <c r="G30" s="154"/>
      <c r="H30" s="176"/>
      <c r="J30" s="40" t="s">
        <v>235</v>
      </c>
      <c r="K30" s="134">
        <v>100</v>
      </c>
      <c r="L30" s="49" t="s">
        <v>127</v>
      </c>
    </row>
    <row r="31" spans="2:18">
      <c r="B31" s="97" t="s">
        <v>100</v>
      </c>
      <c r="C31" s="108"/>
      <c r="D31" s="87"/>
      <c r="E31" s="49"/>
      <c r="F31" s="140"/>
      <c r="G31" s="140"/>
      <c r="H31" s="163"/>
      <c r="J31" s="216" t="s">
        <v>241</v>
      </c>
      <c r="K31" s="217">
        <v>0.19</v>
      </c>
      <c r="L31" s="49" t="s">
        <v>149</v>
      </c>
    </row>
    <row r="32" spans="2:18">
      <c r="B32" s="60" t="s">
        <v>101</v>
      </c>
      <c r="C32" s="140">
        <f t="shared" ref="C32:C45" si="1">IF(NOT(ooperation_choice="power"),0,1)</f>
        <v>0</v>
      </c>
      <c r="D32" s="100">
        <f>IF(ooperation_choice="power",flowrate*Cpwater*Rhowater*(Tx-toutlet)*10^-9,0)</f>
        <v>0</v>
      </c>
      <c r="E32" s="94" t="s">
        <v>102</v>
      </c>
      <c r="F32" s="224" t="s">
        <v>103</v>
      </c>
      <c r="G32" s="224"/>
      <c r="H32" s="225"/>
    </row>
    <row r="33" spans="2:15">
      <c r="B33" s="40" t="s">
        <v>104</v>
      </c>
      <c r="C33" s="140">
        <f t="shared" si="1"/>
        <v>0</v>
      </c>
      <c r="D33" s="128">
        <f>D32*Efficiency*1000</f>
        <v>0</v>
      </c>
      <c r="E33" s="49" t="s">
        <v>83</v>
      </c>
      <c r="F33" s="226" t="s">
        <v>103</v>
      </c>
      <c r="G33" s="226"/>
      <c r="H33" s="227"/>
      <c r="J33" s="40" t="s">
        <v>140</v>
      </c>
      <c r="K33" s="152">
        <v>500</v>
      </c>
      <c r="L33" s="107" t="s">
        <v>125</v>
      </c>
    </row>
    <row r="34" spans="2:15">
      <c r="B34" s="40" t="s">
        <v>105</v>
      </c>
      <c r="C34" s="140">
        <f t="shared" si="1"/>
        <v>0</v>
      </c>
      <c r="D34" s="143">
        <f>Power/D24</f>
        <v>0</v>
      </c>
      <c r="E34" s="49"/>
      <c r="F34" s="140" t="s">
        <v>106</v>
      </c>
      <c r="G34" s="140"/>
      <c r="H34" s="163"/>
      <c r="J34" s="40" t="s">
        <v>141</v>
      </c>
      <c r="K34" s="118">
        <v>1100</v>
      </c>
      <c r="L34" s="49" t="s">
        <v>127</v>
      </c>
    </row>
    <row r="35" spans="2:15">
      <c r="B35" s="40" t="s">
        <v>107</v>
      </c>
      <c r="C35" s="140">
        <f t="shared" si="1"/>
        <v>0</v>
      </c>
      <c r="D35" s="128">
        <f>Power-D24</f>
        <v>-1240.7407407407406</v>
      </c>
      <c r="E35" s="49" t="s">
        <v>83</v>
      </c>
      <c r="F35" s="226" t="s">
        <v>103</v>
      </c>
      <c r="G35" s="226"/>
      <c r="H35" s="227"/>
      <c r="J35" s="40" t="s">
        <v>142</v>
      </c>
      <c r="K35" s="134">
        <v>10</v>
      </c>
      <c r="L35" s="49" t="s">
        <v>130</v>
      </c>
      <c r="M35" s="58"/>
    </row>
    <row r="36" spans="2:15" ht="15.75" customHeight="1">
      <c r="B36" s="40" t="s">
        <v>108</v>
      </c>
      <c r="C36" s="140">
        <f t="shared" si="1"/>
        <v>0</v>
      </c>
      <c r="D36" s="55">
        <v>6000</v>
      </c>
      <c r="E36" s="49" t="s">
        <v>109</v>
      </c>
      <c r="F36" s="140" t="s">
        <v>110</v>
      </c>
      <c r="G36" s="140"/>
      <c r="H36" s="163"/>
      <c r="J36" s="40" t="s">
        <v>143</v>
      </c>
      <c r="K36" s="134">
        <v>50</v>
      </c>
      <c r="L36" s="49" t="s">
        <v>127</v>
      </c>
      <c r="M36" s="58"/>
    </row>
    <row r="37" spans="2:15">
      <c r="B37" s="40" t="s">
        <v>111</v>
      </c>
      <c r="C37" s="140">
        <f t="shared" si="1"/>
        <v>0</v>
      </c>
      <c r="D37" s="118">
        <v>2300</v>
      </c>
      <c r="E37" s="49" t="s">
        <v>112</v>
      </c>
      <c r="F37" s="226" t="s">
        <v>113</v>
      </c>
      <c r="G37" s="226"/>
      <c r="H37" s="227"/>
      <c r="M37" s="177"/>
    </row>
    <row r="38" spans="2:15">
      <c r="B38" s="40" t="s">
        <v>114</v>
      </c>
      <c r="C38" s="140">
        <f t="shared" si="1"/>
        <v>0</v>
      </c>
      <c r="D38" s="167">
        <v>0</v>
      </c>
      <c r="E38" s="49" t="s">
        <v>32</v>
      </c>
      <c r="F38" s="140" t="s">
        <v>115</v>
      </c>
      <c r="G38" s="140"/>
      <c r="H38" s="163"/>
      <c r="M38" s="177"/>
    </row>
    <row r="39" spans="2:15">
      <c r="B39" s="40" t="s">
        <v>116</v>
      </c>
      <c r="C39" s="140">
        <f t="shared" si="1"/>
        <v>0</v>
      </c>
      <c r="D39" s="76">
        <v>80</v>
      </c>
      <c r="E39" s="49" t="s">
        <v>112</v>
      </c>
      <c r="F39" s="140" t="s">
        <v>117</v>
      </c>
      <c r="G39" s="140"/>
      <c r="H39" s="163"/>
      <c r="M39" s="177"/>
    </row>
    <row r="40" spans="2:15">
      <c r="B40" s="40" t="s">
        <v>118</v>
      </c>
      <c r="C40" s="140">
        <f t="shared" si="1"/>
        <v>0</v>
      </c>
      <c r="D40" s="76">
        <v>100</v>
      </c>
      <c r="E40" s="49" t="s">
        <v>119</v>
      </c>
      <c r="F40" s="140" t="s">
        <v>120</v>
      </c>
      <c r="G40" s="140"/>
      <c r="H40" s="163"/>
      <c r="M40" s="177"/>
    </row>
    <row r="41" spans="2:15">
      <c r="B41" s="40" t="s">
        <v>121</v>
      </c>
      <c r="C41" s="140">
        <f t="shared" si="1"/>
        <v>0</v>
      </c>
      <c r="D41" s="90">
        <f>IF(Power&gt;0,Power*0.001*PlantInvest+GridInvest*Power*0.001+DistanceToGrid*GridConVar*0.001,0)</f>
        <v>0</v>
      </c>
      <c r="E41" s="49" t="s">
        <v>122</v>
      </c>
      <c r="F41" s="140" t="s">
        <v>123</v>
      </c>
      <c r="G41" s="140"/>
      <c r="H41" s="163"/>
    </row>
    <row r="42" spans="2:15">
      <c r="B42" s="40" t="s">
        <v>124</v>
      </c>
      <c r="C42" s="140">
        <f t="shared" si="1"/>
        <v>0</v>
      </c>
      <c r="D42" s="135">
        <v>10</v>
      </c>
      <c r="E42" s="49" t="s">
        <v>125</v>
      </c>
      <c r="F42" s="140" t="s">
        <v>124</v>
      </c>
      <c r="G42" s="140"/>
      <c r="H42" s="163"/>
      <c r="O42" s="93"/>
    </row>
    <row r="43" spans="2:15">
      <c r="B43" s="40" t="s">
        <v>126</v>
      </c>
      <c r="C43" s="140">
        <f t="shared" si="1"/>
        <v>0</v>
      </c>
      <c r="D43" s="132">
        <v>50</v>
      </c>
      <c r="E43" s="49" t="s">
        <v>127</v>
      </c>
      <c r="F43" s="228" t="s">
        <v>128</v>
      </c>
      <c r="G43" s="228"/>
      <c r="H43" s="229"/>
      <c r="O43" s="93"/>
    </row>
    <row r="44" spans="2:15">
      <c r="B44" s="40" t="s">
        <v>129</v>
      </c>
      <c r="C44" s="140">
        <f t="shared" si="1"/>
        <v>0</v>
      </c>
      <c r="D44" s="136">
        <f>IF(Power&gt;0,fixedOMrate*Power*0.001+D42,0)</f>
        <v>0</v>
      </c>
      <c r="E44" s="49" t="s">
        <v>130</v>
      </c>
      <c r="F44" s="228" t="s">
        <v>131</v>
      </c>
      <c r="G44" s="228"/>
      <c r="H44" s="229"/>
      <c r="O44" s="93"/>
    </row>
    <row r="45" spans="2:15" ht="12.75" customHeight="1">
      <c r="B45" s="86" t="s">
        <v>132</v>
      </c>
      <c r="C45" s="140">
        <f t="shared" si="1"/>
        <v>0</v>
      </c>
      <c r="D45" s="137">
        <f>D27/Efficiency</f>
        <v>9.8153824078539902</v>
      </c>
      <c r="E45" s="95" t="s">
        <v>89</v>
      </c>
      <c r="F45" s="222" t="s">
        <v>133</v>
      </c>
      <c r="G45" s="222"/>
      <c r="H45" s="223"/>
      <c r="O45" s="93"/>
    </row>
    <row r="46" spans="2:15">
      <c r="B46" s="101" t="s">
        <v>218</v>
      </c>
      <c r="C46" s="66"/>
      <c r="D46" s="87"/>
      <c r="E46" s="68"/>
      <c r="F46" s="62"/>
      <c r="G46" s="140"/>
      <c r="H46" s="163"/>
      <c r="O46" s="93"/>
    </row>
    <row r="47" spans="2:15">
      <c r="B47" s="40" t="s">
        <v>221</v>
      </c>
      <c r="C47" s="155">
        <f t="shared" ref="C47:C59" si="2">IF(ooperation_choice="power",0,1)</f>
        <v>1</v>
      </c>
      <c r="D47" s="126">
        <f>IF(ooperation_choice="power",0,flowrate*Cpwater*Rhowater*(Tx-Treinject)*10^-9)</f>
        <v>17.147377980919366</v>
      </c>
      <c r="E47" s="49" t="s">
        <v>102</v>
      </c>
      <c r="F47" s="140" t="s">
        <v>134</v>
      </c>
      <c r="G47" s="140"/>
      <c r="H47" s="163"/>
      <c r="O47" s="93"/>
    </row>
    <row r="48" spans="2:15">
      <c r="B48" s="40" t="s">
        <v>222</v>
      </c>
      <c r="C48" s="140">
        <f t="shared" si="2"/>
        <v>1</v>
      </c>
      <c r="D48" s="126">
        <f>IF(ooperation_choice="directheat",1*heat_mwthgross,efficiencydirectheat*heat_mwthgross)</f>
        <v>17.147377980919366</v>
      </c>
      <c r="E48" s="49" t="s">
        <v>136</v>
      </c>
      <c r="F48" s="140" t="s">
        <v>240</v>
      </c>
      <c r="G48" s="140"/>
      <c r="H48" s="163"/>
      <c r="O48" s="93"/>
    </row>
    <row r="49" spans="2:15">
      <c r="B49" s="40" t="s">
        <v>135</v>
      </c>
      <c r="C49" s="140">
        <f t="shared" si="2"/>
        <v>1</v>
      </c>
      <c r="D49" s="127">
        <f>heat_mwth*1000/3.51686</f>
        <v>4875.7636018833182</v>
      </c>
      <c r="E49" s="49" t="s">
        <v>137</v>
      </c>
      <c r="F49" s="140" t="s">
        <v>138</v>
      </c>
      <c r="G49" s="140"/>
      <c r="H49" s="163"/>
      <c r="O49" s="93"/>
    </row>
    <row r="50" spans="2:15">
      <c r="B50" s="40" t="s">
        <v>223</v>
      </c>
      <c r="C50" s="140">
        <f t="shared" si="2"/>
        <v>1</v>
      </c>
      <c r="D50" s="79">
        <v>6000</v>
      </c>
      <c r="E50" s="49" t="s">
        <v>109</v>
      </c>
      <c r="F50" s="140" t="s">
        <v>139</v>
      </c>
      <c r="G50" s="140"/>
      <c r="H50" s="163"/>
      <c r="O50" s="93"/>
    </row>
    <row r="51" spans="2:15">
      <c r="B51" s="40" t="s">
        <v>224</v>
      </c>
      <c r="C51" s="140">
        <f t="shared" si="2"/>
        <v>1</v>
      </c>
      <c r="D51" s="213">
        <f>IF(ooperation_choice="directheat",K27,K33)</f>
        <v>3000</v>
      </c>
      <c r="E51" s="107" t="s">
        <v>125</v>
      </c>
      <c r="F51" s="62" t="s">
        <v>236</v>
      </c>
      <c r="G51" s="107"/>
      <c r="H51" s="81"/>
      <c r="O51" s="93"/>
    </row>
    <row r="52" spans="2:15">
      <c r="B52" s="40" t="s">
        <v>226</v>
      </c>
      <c r="C52" s="140">
        <f t="shared" si="2"/>
        <v>1</v>
      </c>
      <c r="D52" s="213">
        <f>IF(ooperation_choice="directheat",K28,K34)</f>
        <v>300</v>
      </c>
      <c r="E52" s="49" t="s">
        <v>127</v>
      </c>
      <c r="F52" s="226" t="s">
        <v>226</v>
      </c>
      <c r="G52" s="226"/>
      <c r="H52" s="227"/>
      <c r="O52" s="93"/>
    </row>
    <row r="53" spans="2:15">
      <c r="B53" s="40" t="s">
        <v>225</v>
      </c>
      <c r="C53" s="140">
        <f t="shared" si="2"/>
        <v>1</v>
      </c>
      <c r="D53" s="127">
        <f>D52*D48+D51</f>
        <v>8144.2133942758101</v>
      </c>
      <c r="E53" s="49" t="s">
        <v>125</v>
      </c>
      <c r="F53" s="140" t="s">
        <v>237</v>
      </c>
      <c r="G53" s="140"/>
      <c r="H53" s="163"/>
      <c r="J53" s="156"/>
      <c r="O53" s="93"/>
    </row>
    <row r="54" spans="2:15">
      <c r="B54" s="40" t="s">
        <v>227</v>
      </c>
      <c r="C54" s="140">
        <f t="shared" si="2"/>
        <v>1</v>
      </c>
      <c r="D54" s="214">
        <f>IF(ooperation_choice="directheat",K29,K35)</f>
        <v>0</v>
      </c>
      <c r="E54" s="49" t="s">
        <v>130</v>
      </c>
      <c r="F54" s="140" t="s">
        <v>227</v>
      </c>
      <c r="G54" s="140"/>
      <c r="H54" s="163"/>
      <c r="O54" s="93"/>
    </row>
    <row r="55" spans="2:15" ht="13.5" customHeight="1">
      <c r="B55" s="40" t="s">
        <v>228</v>
      </c>
      <c r="C55" s="140">
        <f t="shared" si="2"/>
        <v>1</v>
      </c>
      <c r="D55" s="214">
        <f>IF(ooperation_choice="directheat",K30,K36)</f>
        <v>100</v>
      </c>
      <c r="E55" s="49" t="s">
        <v>127</v>
      </c>
      <c r="F55" s="228" t="s">
        <v>239</v>
      </c>
      <c r="G55" s="228"/>
      <c r="H55" s="229"/>
      <c r="O55" s="93"/>
    </row>
    <row r="56" spans="2:15" ht="13.5" customHeight="1">
      <c r="B56" s="40" t="s">
        <v>229</v>
      </c>
      <c r="C56" s="140">
        <f t="shared" si="2"/>
        <v>1</v>
      </c>
      <c r="D56" s="153">
        <f>D54+D55*heat_mwth</f>
        <v>1714.7377980919366</v>
      </c>
      <c r="E56" s="49" t="s">
        <v>130</v>
      </c>
      <c r="F56" s="228" t="s">
        <v>238</v>
      </c>
      <c r="G56" s="228"/>
      <c r="H56" s="229"/>
      <c r="O56" s="93"/>
    </row>
    <row r="57" spans="2:15" ht="13.5" customHeight="1">
      <c r="B57" s="40" t="s">
        <v>230</v>
      </c>
      <c r="C57" s="140">
        <f t="shared" si="2"/>
        <v>1</v>
      </c>
      <c r="D57" s="136">
        <f>IF(ooperation_choice="directheat",0,heat_mwth*chiller_parasitic*1000)</f>
        <v>0</v>
      </c>
      <c r="E57" s="49" t="s">
        <v>144</v>
      </c>
      <c r="F57" s="62" t="s">
        <v>145</v>
      </c>
      <c r="G57" s="62"/>
      <c r="H57" s="178"/>
      <c r="O57" s="93"/>
    </row>
    <row r="58" spans="2:15" ht="13.5" customHeight="1">
      <c r="B58" s="40" t="s">
        <v>231</v>
      </c>
      <c r="C58" s="140">
        <f t="shared" si="2"/>
        <v>1</v>
      </c>
      <c r="D58" s="165">
        <f>D57+D24</f>
        <v>1240.7407407407406</v>
      </c>
      <c r="E58" s="49" t="s">
        <v>144</v>
      </c>
      <c r="F58" s="62" t="s">
        <v>146</v>
      </c>
      <c r="G58" s="62"/>
      <c r="H58" s="178"/>
      <c r="O58" s="93"/>
    </row>
    <row r="59" spans="2:15">
      <c r="B59" s="40" t="s">
        <v>232</v>
      </c>
      <c r="C59" s="140">
        <f t="shared" si="2"/>
        <v>1</v>
      </c>
      <c r="D59" s="179">
        <f>heat_mwth*1000/D58</f>
        <v>13.820274790591728</v>
      </c>
      <c r="E59" s="49" t="s">
        <v>147</v>
      </c>
      <c r="F59" s="62" t="s">
        <v>148</v>
      </c>
      <c r="G59" s="62"/>
      <c r="H59" s="178"/>
      <c r="O59" s="93"/>
    </row>
    <row r="60" spans="2:15">
      <c r="B60" s="86" t="s">
        <v>91</v>
      </c>
      <c r="C60" s="154">
        <f>IF(ooperation_choice="power",0,1)</f>
        <v>1</v>
      </c>
      <c r="D60" s="138">
        <f>IF(heat_mwth&gt;0,IF((ooperation_choice="chiller"),D27*(1/efficiencydirectheat)+ chiller_parasitic*electricity_buy,D27+K31),0)</f>
        <v>0.76885969137502741</v>
      </c>
      <c r="E60" s="95" t="s">
        <v>149</v>
      </c>
      <c r="F60" s="222" t="s">
        <v>150</v>
      </c>
      <c r="G60" s="222"/>
      <c r="H60" s="223"/>
      <c r="O60" s="93"/>
    </row>
    <row r="61" spans="2:15">
      <c r="B61" s="106" t="s">
        <v>151</v>
      </c>
      <c r="C61" s="170"/>
      <c r="D61" s="94"/>
      <c r="E61" s="94"/>
      <c r="F61" s="77"/>
      <c r="G61" s="77"/>
      <c r="H61" s="82"/>
    </row>
    <row r="62" spans="2:15">
      <c r="B62" s="60" t="s">
        <v>152</v>
      </c>
      <c r="C62" s="140">
        <f>1</f>
        <v>1</v>
      </c>
      <c r="D62" s="180">
        <v>5</v>
      </c>
      <c r="E62" s="94" t="s">
        <v>89</v>
      </c>
      <c r="F62" s="224" t="s">
        <v>153</v>
      </c>
      <c r="G62" s="224"/>
      <c r="H62" s="225"/>
    </row>
    <row r="63" spans="2:15">
      <c r="B63" s="86" t="s">
        <v>154</v>
      </c>
      <c r="C63" s="154">
        <f>1</f>
        <v>1</v>
      </c>
      <c r="D63" s="181">
        <v>5.0999999999999996</v>
      </c>
      <c r="E63" s="95" t="s">
        <v>92</v>
      </c>
      <c r="F63" s="154" t="s">
        <v>234</v>
      </c>
      <c r="G63" s="154"/>
      <c r="H63" s="176"/>
    </row>
    <row r="64" spans="2:15">
      <c r="B64" s="106" t="s">
        <v>155</v>
      </c>
      <c r="C64" s="140"/>
      <c r="D64" s="94"/>
      <c r="E64" s="94"/>
      <c r="F64" s="77"/>
      <c r="G64" s="83"/>
      <c r="H64" s="84"/>
    </row>
    <row r="65" spans="1:8">
      <c r="B65" s="60" t="s">
        <v>156</v>
      </c>
      <c r="C65" s="155">
        <v>1</v>
      </c>
      <c r="D65" s="157">
        <v>0.15</v>
      </c>
      <c r="E65" s="94" t="s">
        <v>96</v>
      </c>
      <c r="F65" s="77" t="s">
        <v>157</v>
      </c>
      <c r="G65" s="77"/>
      <c r="H65" s="82"/>
    </row>
    <row r="66" spans="1:8">
      <c r="B66" s="40" t="s">
        <v>158</v>
      </c>
      <c r="C66" s="140">
        <v>1</v>
      </c>
      <c r="D66" s="219">
        <v>1.4999999999999999E-2</v>
      </c>
      <c r="E66" s="49" t="s">
        <v>96</v>
      </c>
      <c r="F66" s="226" t="s">
        <v>159</v>
      </c>
      <c r="G66" s="224"/>
      <c r="H66" s="225"/>
    </row>
    <row r="67" spans="1:8">
      <c r="B67" s="40" t="s">
        <v>160</v>
      </c>
      <c r="C67" s="140">
        <v>1</v>
      </c>
      <c r="D67" s="182">
        <v>0.05</v>
      </c>
      <c r="E67" s="49" t="s">
        <v>96</v>
      </c>
      <c r="F67" s="226" t="s">
        <v>161</v>
      </c>
      <c r="G67" s="226"/>
      <c r="H67" s="227"/>
    </row>
    <row r="68" spans="1:8">
      <c r="B68" s="40" t="s">
        <v>162</v>
      </c>
      <c r="C68" s="140">
        <v>1</v>
      </c>
      <c r="D68" s="182">
        <v>0.14499999999999999</v>
      </c>
      <c r="E68" s="49" t="s">
        <v>96</v>
      </c>
      <c r="F68" s="228" t="s">
        <v>163</v>
      </c>
      <c r="G68" s="232"/>
      <c r="H68" s="233"/>
    </row>
    <row r="69" spans="1:8">
      <c r="B69" s="40" t="s">
        <v>164</v>
      </c>
      <c r="C69" s="140">
        <v>1</v>
      </c>
      <c r="D69" s="183">
        <v>0.2</v>
      </c>
      <c r="E69" s="49" t="s">
        <v>96</v>
      </c>
      <c r="F69" s="228" t="s">
        <v>165</v>
      </c>
      <c r="G69" s="232"/>
      <c r="H69" s="233"/>
    </row>
    <row r="70" spans="1:8">
      <c r="B70" s="61" t="s">
        <v>166</v>
      </c>
      <c r="C70" s="104">
        <v>1</v>
      </c>
      <c r="D70" s="184">
        <f>1-D69</f>
        <v>0.8</v>
      </c>
      <c r="E70" s="49" t="s">
        <v>96</v>
      </c>
      <c r="F70" s="226" t="s">
        <v>167</v>
      </c>
      <c r="G70" s="226"/>
      <c r="H70" s="227"/>
    </row>
    <row r="71" spans="1:8">
      <c r="B71" s="159" t="s">
        <v>168</v>
      </c>
      <c r="C71" s="158">
        <v>1</v>
      </c>
      <c r="D71" s="185">
        <v>0.25</v>
      </c>
      <c r="E71" s="95" t="s">
        <v>96</v>
      </c>
      <c r="F71" s="222" t="s">
        <v>169</v>
      </c>
      <c r="G71" s="222"/>
      <c r="H71" s="223"/>
    </row>
    <row r="72" spans="1:8">
      <c r="B72" s="186"/>
      <c r="C72" s="187"/>
      <c r="D72" s="188"/>
      <c r="E72" s="169"/>
      <c r="F72" s="170"/>
      <c r="G72" s="169"/>
      <c r="H72" s="10"/>
    </row>
    <row r="73" spans="1:8">
      <c r="B73" s="61" t="s">
        <v>170</v>
      </c>
      <c r="C73" s="104">
        <v>1</v>
      </c>
      <c r="D73" s="55">
        <v>15</v>
      </c>
      <c r="E73" s="49" t="s">
        <v>171</v>
      </c>
      <c r="F73" s="224" t="s">
        <v>172</v>
      </c>
      <c r="G73" s="224"/>
      <c r="H73" s="225"/>
    </row>
    <row r="74" spans="1:8" ht="13.5" thickBot="1">
      <c r="B74" s="78" t="s">
        <v>173</v>
      </c>
      <c r="C74" s="105">
        <v>1</v>
      </c>
      <c r="D74" s="189">
        <v>15</v>
      </c>
      <c r="E74" s="67" t="s">
        <v>171</v>
      </c>
      <c r="F74" s="230" t="s">
        <v>174</v>
      </c>
      <c r="G74" s="230"/>
      <c r="H74" s="231"/>
    </row>
    <row r="76" spans="1:8">
      <c r="B76" s="145" t="s">
        <v>175</v>
      </c>
      <c r="C76" s="145" t="s">
        <v>22</v>
      </c>
      <c r="D76" s="146" t="s">
        <v>19</v>
      </c>
      <c r="E76" s="146" t="s">
        <v>20</v>
      </c>
      <c r="G76"/>
    </row>
    <row r="77" spans="1:8" ht="16.5" thickBot="1">
      <c r="B77" s="40" t="s">
        <v>176</v>
      </c>
      <c r="C77" s="140">
        <f>IF(ooperation_choice="chiller",0,1)</f>
        <v>1</v>
      </c>
      <c r="D77" s="215">
        <f>IF(NOT(ooperation_choice="power"),0,100*(CFpower!C36-CFpower!D27)/CFpower!D28/100)</f>
        <v>0</v>
      </c>
      <c r="E77" s="147" t="s">
        <v>177</v>
      </c>
      <c r="G77" s="5"/>
    </row>
    <row r="78" spans="1:8" ht="16.5" thickBot="1">
      <c r="A78" s="109"/>
      <c r="B78" s="148" t="s">
        <v>178</v>
      </c>
      <c r="C78" s="142">
        <f>IF(ooperation_choice="chiller",0,1)</f>
        <v>1</v>
      </c>
      <c r="D78" s="151">
        <f>CFpower!D28*(power_feedin*0.01-Input_Output!D77)*0.000001</f>
        <v>0</v>
      </c>
      <c r="E78" s="149" t="s">
        <v>179</v>
      </c>
      <c r="G78" s="5"/>
    </row>
    <row r="79" spans="1:8" ht="13.5" thickBot="1">
      <c r="A79" s="38"/>
      <c r="D79" s="46"/>
    </row>
    <row r="80" spans="1:8">
      <c r="B80" s="9" t="s">
        <v>242</v>
      </c>
      <c r="C80" s="141"/>
      <c r="D80" s="44" t="s">
        <v>19</v>
      </c>
      <c r="E80" s="45" t="s">
        <v>20</v>
      </c>
      <c r="F80" s="58"/>
      <c r="G80" s="50"/>
    </row>
    <row r="81" spans="2:5" ht="15.75">
      <c r="B81" s="40" t="s">
        <v>176</v>
      </c>
      <c r="C81" s="140">
        <f>IF(ooperation_choice="power",0,1)</f>
        <v>1</v>
      </c>
      <c r="D81" s="218">
        <f>IF((ooperation_choice="power"),0,100*(CFheat!C36-CFheat!D27)/CFheat!D28/100)</f>
        <v>5.1711824507930985E-2</v>
      </c>
      <c r="E81" s="147" t="s">
        <v>180</v>
      </c>
    </row>
    <row r="82" spans="2:5" ht="15.75">
      <c r="B82" s="40" t="s">
        <v>181</v>
      </c>
      <c r="C82" s="140">
        <f>IF(ooperation_choice="power",0,1)</f>
        <v>1</v>
      </c>
      <c r="D82" s="150">
        <f>D81*3.51586</f>
        <v>0.18181153531445424</v>
      </c>
      <c r="E82" s="147" t="s">
        <v>182</v>
      </c>
    </row>
    <row r="83" spans="2:5" ht="16.5" thickBot="1">
      <c r="B83" s="148" t="s">
        <v>178</v>
      </c>
      <c r="C83" s="142">
        <f>IF(ooperation_choice="power",0,1)</f>
        <v>1</v>
      </c>
      <c r="D83" s="151">
        <f>CFheat!D28*(coheat_feedin*0.01-Input_Output!D81)*0.000001</f>
        <v>-0.32910722610452292</v>
      </c>
      <c r="E83" s="149" t="s">
        <v>179</v>
      </c>
    </row>
    <row r="84" spans="2:5">
      <c r="D84" s="50"/>
    </row>
  </sheetData>
  <mergeCells count="26">
    <mergeCell ref="F20:H20"/>
    <mergeCell ref="F37:H37"/>
    <mergeCell ref="F44:H44"/>
    <mergeCell ref="F5:H5"/>
    <mergeCell ref="F33:H33"/>
    <mergeCell ref="F15:H15"/>
    <mergeCell ref="F6:H6"/>
    <mergeCell ref="F10:H10"/>
    <mergeCell ref="F27:H27"/>
    <mergeCell ref="F32:H32"/>
    <mergeCell ref="F35:H35"/>
    <mergeCell ref="F43:H43"/>
    <mergeCell ref="F71:H71"/>
    <mergeCell ref="F73:H73"/>
    <mergeCell ref="F74:H74"/>
    <mergeCell ref="F66:H66"/>
    <mergeCell ref="F67:H67"/>
    <mergeCell ref="F68:H68"/>
    <mergeCell ref="F69:H69"/>
    <mergeCell ref="F70:H70"/>
    <mergeCell ref="F45:H45"/>
    <mergeCell ref="F62:H62"/>
    <mergeCell ref="F52:H52"/>
    <mergeCell ref="F56:H56"/>
    <mergeCell ref="F60:H60"/>
    <mergeCell ref="F55:H55"/>
  </mergeCells>
  <phoneticPr fontId="0" type="noConversion"/>
  <conditionalFormatting sqref="C77:C78 C60:C74 C81:C82 C6:C56">
    <cfRule type="cellIs" dxfId="5" priority="13" operator="notEqual">
      <formula>1</formula>
    </cfRule>
    <cfRule type="cellIs" dxfId="4" priority="15" operator="equal">
      <formula>1</formula>
    </cfRule>
  </conditionalFormatting>
  <conditionalFormatting sqref="C57:C59">
    <cfRule type="cellIs" dxfId="3" priority="9" operator="notEqual">
      <formula>1</formula>
    </cfRule>
    <cfRule type="cellIs" dxfId="2" priority="10" operator="equal">
      <formula>1</formula>
    </cfRule>
  </conditionalFormatting>
  <conditionalFormatting sqref="C83">
    <cfRule type="cellIs" dxfId="1" priority="7" operator="notEqual">
      <formula>1</formula>
    </cfRule>
    <cfRule type="cellIs" dxfId="0" priority="8" operator="equal">
      <formula>1</formula>
    </cfRule>
  </conditionalFormatting>
  <dataValidations count="3">
    <dataValidation type="list" allowBlank="1" showInputMessage="1" showErrorMessage="1" sqref="G2" xr:uid="{00000000-0002-0000-0100-000001000000}">
      <formula1>"directheat,power,chiller"</formula1>
    </dataValidation>
    <dataValidation type="decimal" allowBlank="1" showInputMessage="1" showErrorMessage="1" error="provide a fraction or percentage[0..99%]" sqref="D29" xr:uid="{00000000-0002-0000-0100-000002000000}">
      <formula1>0</formula1>
      <formula2>0.99</formula2>
    </dataValidation>
    <dataValidation type="list" allowBlank="1" showInputMessage="1" showErrorMessage="1" sqref="G3" xr:uid="{6C47860A-F590-44C9-BE15-6D53558BD770}">
      <formula1>"yes,no"</formula1>
    </dataValidation>
  </dataValidations>
  <pageMargins left="0.75" right="0.75" top="1" bottom="1" header="0.5" footer="0.5"/>
  <pageSetup paperSize="9" scale="56" orientation="portrait" r:id="rId1"/>
  <headerFooter alignWithMargins="0">
    <oddFooter>&amp;L&amp;D&amp;RVersie  2003.1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CDD76-88DE-4AD4-86B6-33A1E84088B7}">
  <dimension ref="A1:A16"/>
  <sheetViews>
    <sheetView topLeftCell="R1" workbookViewId="0">
      <selection activeCell="R1" sqref="A1:XFD1048576"/>
    </sheetView>
  </sheetViews>
  <sheetFormatPr defaultRowHeight="12.75"/>
  <cols>
    <col min="1" max="1" width="10.140625" style="156" bestFit="1" customWidth="1"/>
    <col min="2" max="10" width="9.28515625" style="156" bestFit="1" customWidth="1"/>
    <col min="11" max="11" width="12.85546875" style="156" bestFit="1" customWidth="1"/>
    <col min="12" max="12" width="11.85546875" style="156" bestFit="1" customWidth="1"/>
    <col min="13" max="13" width="13.140625" style="156" bestFit="1" customWidth="1"/>
    <col min="14" max="14" width="12.42578125" style="156" bestFit="1" customWidth="1"/>
    <col min="15" max="23" width="9.28515625" style="156" bestFit="1" customWidth="1"/>
    <col min="24" max="24" width="12.85546875" style="156" bestFit="1" customWidth="1"/>
    <col min="25" max="25" width="17" style="156" bestFit="1" customWidth="1"/>
    <col min="26" max="27" width="9.28515625" style="156" bestFit="1" customWidth="1"/>
    <col min="28" max="28" width="11.140625" style="156" bestFit="1" customWidth="1"/>
    <col min="29" max="35" width="9.28515625" style="156" bestFit="1" customWidth="1"/>
    <col min="36" max="37" width="9.5703125" style="156" bestFit="1" customWidth="1"/>
    <col min="38" max="38" width="9.28515625" style="156" bestFit="1" customWidth="1"/>
    <col min="39" max="41" width="9.5703125" style="156" bestFit="1" customWidth="1"/>
    <col min="42" max="43" width="9.28515625" style="156" bestFit="1" customWidth="1"/>
    <col min="44" max="16384" width="9.140625" style="156"/>
  </cols>
  <sheetData>
    <row r="1" spans="1:1" ht="13.5">
      <c r="A1" s="221"/>
    </row>
    <row r="2" spans="1:1" ht="13.5">
      <c r="A2" s="221"/>
    </row>
    <row r="3" spans="1:1" ht="13.5">
      <c r="A3" s="221"/>
    </row>
    <row r="4" spans="1:1" ht="13.5">
      <c r="A4" s="221"/>
    </row>
    <row r="5" spans="1:1" ht="13.5">
      <c r="A5" s="221"/>
    </row>
    <row r="6" spans="1:1" ht="13.5">
      <c r="A6" s="221"/>
    </row>
    <row r="7" spans="1:1" ht="13.5">
      <c r="A7" s="221"/>
    </row>
    <row r="8" spans="1:1" ht="13.5">
      <c r="A8" s="221"/>
    </row>
    <row r="9" spans="1:1" ht="13.5">
      <c r="A9" s="221"/>
    </row>
    <row r="10" spans="1:1" ht="13.5">
      <c r="A10" s="221"/>
    </row>
    <row r="11" spans="1:1" ht="13.5">
      <c r="A11" s="221"/>
    </row>
    <row r="12" spans="1:1" ht="13.5">
      <c r="A12" s="221"/>
    </row>
    <row r="13" spans="1:1" ht="13.5">
      <c r="A13" s="221"/>
    </row>
    <row r="14" spans="1:1" ht="13.5">
      <c r="A14" s="221"/>
    </row>
    <row r="15" spans="1:1" ht="13.5">
      <c r="A15" s="221"/>
    </row>
    <row r="16" spans="1:1" ht="13.5">
      <c r="A16" s="2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autoPageBreaks="0"/>
  </sheetPr>
  <dimension ref="A1:AS49"/>
  <sheetViews>
    <sheetView zoomScaleNormal="100" workbookViewId="0">
      <selection activeCell="O10" sqref="O10"/>
    </sheetView>
  </sheetViews>
  <sheetFormatPr defaultRowHeight="12.75"/>
  <cols>
    <col min="1" max="1" width="11.42578125" style="1" customWidth="1"/>
    <col min="2" max="2" width="40.42578125" style="1" customWidth="1"/>
    <col min="3" max="3" width="29.28515625" style="1" customWidth="1"/>
    <col min="4" max="4" width="15.7109375" style="1" bestFit="1" customWidth="1"/>
    <col min="5" max="5" width="12.7109375" style="1" customWidth="1"/>
    <col min="6" max="12" width="15.140625" style="1" bestFit="1" customWidth="1"/>
    <col min="13" max="45" width="12.7109375" style="1" customWidth="1"/>
    <col min="46" max="256" width="11.42578125" style="1" customWidth="1"/>
    <col min="257" max="16384" width="9.140625" style="1"/>
  </cols>
  <sheetData>
    <row r="1" spans="1:45" s="29" customFormat="1" ht="18">
      <c r="A1" s="29" t="str">
        <f>Colofon!C2</f>
        <v xml:space="preserve">Calculation of LCOE of geothermal power/direct heat/chilling </v>
      </c>
    </row>
    <row r="2" spans="1:45" s="30" customFormat="1" ht="23.25">
      <c r="A2" s="30" t="s">
        <v>183</v>
      </c>
    </row>
    <row r="3" spans="1:45">
      <c r="A3" s="58"/>
      <c r="B3" s="58"/>
      <c r="C3" s="58"/>
      <c r="D3" s="58"/>
      <c r="E3" s="58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</row>
    <row r="4" spans="1:45">
      <c r="A4" s="190"/>
      <c r="B4" s="19"/>
      <c r="C4" s="20" t="s">
        <v>171</v>
      </c>
      <c r="D4" s="20"/>
      <c r="E4" s="13">
        <v>0</v>
      </c>
      <c r="F4" s="13">
        <v>1</v>
      </c>
      <c r="G4" s="13">
        <v>2</v>
      </c>
      <c r="H4" s="13">
        <v>3</v>
      </c>
      <c r="I4" s="13">
        <v>4</v>
      </c>
      <c r="J4" s="13">
        <v>5</v>
      </c>
      <c r="K4" s="13">
        <v>6</v>
      </c>
      <c r="L4" s="13">
        <v>7</v>
      </c>
      <c r="M4" s="13">
        <v>8</v>
      </c>
      <c r="N4" s="13">
        <v>9</v>
      </c>
      <c r="O4" s="13">
        <v>10</v>
      </c>
      <c r="P4" s="13">
        <v>11</v>
      </c>
      <c r="Q4" s="13">
        <v>12</v>
      </c>
      <c r="R4" s="13">
        <v>13</v>
      </c>
      <c r="S4" s="13">
        <v>14</v>
      </c>
      <c r="T4" s="13">
        <v>15</v>
      </c>
      <c r="U4" s="13">
        <v>16</v>
      </c>
      <c r="V4" s="13">
        <v>17</v>
      </c>
      <c r="W4" s="13">
        <v>18</v>
      </c>
      <c r="X4" s="13">
        <v>19</v>
      </c>
      <c r="Y4" s="13">
        <v>20</v>
      </c>
      <c r="Z4" s="13">
        <v>21</v>
      </c>
      <c r="AA4" s="13">
        <v>22</v>
      </c>
      <c r="AB4" s="13">
        <v>23</v>
      </c>
      <c r="AC4" s="13">
        <v>24</v>
      </c>
      <c r="AD4" s="13">
        <v>25</v>
      </c>
      <c r="AE4" s="13">
        <v>26</v>
      </c>
      <c r="AF4" s="13">
        <v>27</v>
      </c>
      <c r="AG4" s="13">
        <v>28</v>
      </c>
      <c r="AH4" s="13">
        <v>29</v>
      </c>
      <c r="AI4" s="13">
        <v>30</v>
      </c>
      <c r="AJ4" s="13">
        <v>31</v>
      </c>
      <c r="AK4" s="13">
        <v>32</v>
      </c>
      <c r="AL4" s="13">
        <v>33</v>
      </c>
      <c r="AM4" s="13">
        <v>34</v>
      </c>
      <c r="AN4" s="13">
        <v>35</v>
      </c>
      <c r="AO4" s="13">
        <v>36</v>
      </c>
      <c r="AP4" s="13">
        <v>37</v>
      </c>
      <c r="AQ4" s="13">
        <v>38</v>
      </c>
      <c r="AR4" s="13">
        <v>39</v>
      </c>
      <c r="AS4" s="14">
        <v>40</v>
      </c>
    </row>
    <row r="5" spans="1:45">
      <c r="A5" s="69"/>
      <c r="B5" s="69" t="s">
        <v>184</v>
      </c>
      <c r="C5" s="54" t="s">
        <v>185</v>
      </c>
      <c r="D5" s="11"/>
      <c r="E5" s="191">
        <f>-C30</f>
        <v>-22127673.013417177</v>
      </c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  <c r="AI5" s="90"/>
      <c r="AJ5" s="90"/>
      <c r="AK5" s="90"/>
      <c r="AL5" s="90"/>
      <c r="AM5" s="90"/>
      <c r="AN5" s="90"/>
      <c r="AO5" s="90"/>
      <c r="AP5" s="90"/>
      <c r="AQ5" s="90"/>
      <c r="AR5" s="90"/>
      <c r="AS5" s="91"/>
    </row>
    <row r="6" spans="1:45" ht="6" customHeight="1">
      <c r="A6" s="53"/>
      <c r="B6" s="54"/>
      <c r="C6" s="21"/>
      <c r="D6" s="21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/>
      <c r="AI6" s="90"/>
      <c r="AJ6" s="90"/>
      <c r="AK6" s="90"/>
      <c r="AL6" s="90"/>
      <c r="AM6" s="90"/>
      <c r="AN6" s="90"/>
      <c r="AO6" s="90"/>
      <c r="AP6" s="90"/>
      <c r="AQ6" s="90"/>
      <c r="AR6" s="90"/>
      <c r="AS6" s="91"/>
    </row>
    <row r="7" spans="1:45">
      <c r="A7" s="53"/>
      <c r="B7" s="53"/>
      <c r="C7" s="54"/>
      <c r="D7" s="53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92"/>
      <c r="AQ7" s="192"/>
      <c r="AR7" s="192"/>
      <c r="AS7" s="193"/>
    </row>
    <row r="8" spans="1:45">
      <c r="A8" s="53"/>
      <c r="B8" s="53" t="s">
        <v>186</v>
      </c>
      <c r="C8" s="54" t="s">
        <v>187</v>
      </c>
      <c r="D8" s="53"/>
      <c r="E8" s="192"/>
      <c r="F8" s="192">
        <f t="shared" ref="F8:AS8" si="0">IF(F4&gt;lifetime,0,Power*power_loadhours)</f>
        <v>0</v>
      </c>
      <c r="G8" s="192">
        <f t="shared" si="0"/>
        <v>0</v>
      </c>
      <c r="H8" s="192">
        <f t="shared" si="0"/>
        <v>0</v>
      </c>
      <c r="I8" s="192">
        <f t="shared" si="0"/>
        <v>0</v>
      </c>
      <c r="J8" s="192">
        <f t="shared" si="0"/>
        <v>0</v>
      </c>
      <c r="K8" s="192">
        <f t="shared" si="0"/>
        <v>0</v>
      </c>
      <c r="L8" s="192">
        <f t="shared" si="0"/>
        <v>0</v>
      </c>
      <c r="M8" s="192">
        <f t="shared" si="0"/>
        <v>0</v>
      </c>
      <c r="N8" s="192">
        <f t="shared" si="0"/>
        <v>0</v>
      </c>
      <c r="O8" s="192">
        <f t="shared" si="0"/>
        <v>0</v>
      </c>
      <c r="P8" s="192">
        <f t="shared" si="0"/>
        <v>0</v>
      </c>
      <c r="Q8" s="192">
        <f t="shared" si="0"/>
        <v>0</v>
      </c>
      <c r="R8" s="192">
        <f t="shared" si="0"/>
        <v>0</v>
      </c>
      <c r="S8" s="192">
        <f t="shared" si="0"/>
        <v>0</v>
      </c>
      <c r="T8" s="192">
        <f t="shared" si="0"/>
        <v>0</v>
      </c>
      <c r="U8" s="192">
        <f t="shared" si="0"/>
        <v>0</v>
      </c>
      <c r="V8" s="192">
        <f t="shared" si="0"/>
        <v>0</v>
      </c>
      <c r="W8" s="192">
        <f t="shared" si="0"/>
        <v>0</v>
      </c>
      <c r="X8" s="192">
        <f t="shared" si="0"/>
        <v>0</v>
      </c>
      <c r="Y8" s="192">
        <f t="shared" si="0"/>
        <v>0</v>
      </c>
      <c r="Z8" s="192">
        <f t="shared" si="0"/>
        <v>0</v>
      </c>
      <c r="AA8" s="192">
        <f t="shared" si="0"/>
        <v>0</v>
      </c>
      <c r="AB8" s="192">
        <f t="shared" si="0"/>
        <v>0</v>
      </c>
      <c r="AC8" s="192">
        <f t="shared" si="0"/>
        <v>0</v>
      </c>
      <c r="AD8" s="192">
        <f t="shared" si="0"/>
        <v>0</v>
      </c>
      <c r="AE8" s="192">
        <f t="shared" si="0"/>
        <v>0</v>
      </c>
      <c r="AF8" s="192">
        <f t="shared" si="0"/>
        <v>0</v>
      </c>
      <c r="AG8" s="192">
        <f t="shared" si="0"/>
        <v>0</v>
      </c>
      <c r="AH8" s="192">
        <f t="shared" si="0"/>
        <v>0</v>
      </c>
      <c r="AI8" s="192">
        <f t="shared" si="0"/>
        <v>0</v>
      </c>
      <c r="AJ8" s="192">
        <f t="shared" si="0"/>
        <v>0</v>
      </c>
      <c r="AK8" s="192">
        <f t="shared" si="0"/>
        <v>0</v>
      </c>
      <c r="AL8" s="192">
        <f t="shared" si="0"/>
        <v>0</v>
      </c>
      <c r="AM8" s="192">
        <f t="shared" si="0"/>
        <v>0</v>
      </c>
      <c r="AN8" s="192">
        <f t="shared" si="0"/>
        <v>0</v>
      </c>
      <c r="AO8" s="192">
        <f t="shared" si="0"/>
        <v>0</v>
      </c>
      <c r="AP8" s="192">
        <f t="shared" si="0"/>
        <v>0</v>
      </c>
      <c r="AQ8" s="192">
        <f t="shared" si="0"/>
        <v>0</v>
      </c>
      <c r="AR8" s="192">
        <f t="shared" si="0"/>
        <v>0</v>
      </c>
      <c r="AS8" s="192">
        <f t="shared" si="0"/>
        <v>0</v>
      </c>
    </row>
    <row r="9" spans="1:45" s="59" customFormat="1" ht="12.75" customHeight="1">
      <c r="A9" s="194"/>
      <c r="B9" s="88" t="s">
        <v>188</v>
      </c>
      <c r="C9" s="89" t="s">
        <v>185</v>
      </c>
      <c r="D9" s="88"/>
      <c r="E9" s="195"/>
      <c r="F9" s="196">
        <f t="shared" ref="F9:AS9" si="1">IF(F4&gt;lifetime,0,-(power_OMfixed*1000+Power*power_loadhours*power_OMvar*0.01+heat_mwth*1000*coheatloadhours*heat_OMvar*0.01+heat_OMfixed*1000))</f>
        <v>-2505773.462629973</v>
      </c>
      <c r="G9" s="196">
        <f t="shared" si="1"/>
        <v>-2505773.462629973</v>
      </c>
      <c r="H9" s="196">
        <f t="shared" si="1"/>
        <v>-2505773.462629973</v>
      </c>
      <c r="I9" s="196">
        <f t="shared" si="1"/>
        <v>-2505773.462629973</v>
      </c>
      <c r="J9" s="196">
        <f t="shared" si="1"/>
        <v>-2505773.462629973</v>
      </c>
      <c r="K9" s="196">
        <f t="shared" si="1"/>
        <v>-2505773.462629973</v>
      </c>
      <c r="L9" s="196">
        <f t="shared" si="1"/>
        <v>-2505773.462629973</v>
      </c>
      <c r="M9" s="196">
        <f t="shared" si="1"/>
        <v>-2505773.462629973</v>
      </c>
      <c r="N9" s="196">
        <f t="shared" si="1"/>
        <v>-2505773.462629973</v>
      </c>
      <c r="O9" s="196">
        <f t="shared" si="1"/>
        <v>-2505773.462629973</v>
      </c>
      <c r="P9" s="196">
        <f t="shared" si="1"/>
        <v>-2505773.462629973</v>
      </c>
      <c r="Q9" s="196">
        <f t="shared" si="1"/>
        <v>-2505773.462629973</v>
      </c>
      <c r="R9" s="196">
        <f t="shared" si="1"/>
        <v>-2505773.462629973</v>
      </c>
      <c r="S9" s="196">
        <f t="shared" si="1"/>
        <v>-2505773.462629973</v>
      </c>
      <c r="T9" s="196">
        <f t="shared" si="1"/>
        <v>-2505773.462629973</v>
      </c>
      <c r="U9" s="196">
        <f t="shared" si="1"/>
        <v>0</v>
      </c>
      <c r="V9" s="196">
        <f t="shared" si="1"/>
        <v>0</v>
      </c>
      <c r="W9" s="196">
        <f t="shared" si="1"/>
        <v>0</v>
      </c>
      <c r="X9" s="196">
        <f t="shared" si="1"/>
        <v>0</v>
      </c>
      <c r="Y9" s="196">
        <f t="shared" si="1"/>
        <v>0</v>
      </c>
      <c r="Z9" s="196">
        <f t="shared" si="1"/>
        <v>0</v>
      </c>
      <c r="AA9" s="196">
        <f t="shared" si="1"/>
        <v>0</v>
      </c>
      <c r="AB9" s="196">
        <f t="shared" si="1"/>
        <v>0</v>
      </c>
      <c r="AC9" s="196">
        <f t="shared" si="1"/>
        <v>0</v>
      </c>
      <c r="AD9" s="196">
        <f t="shared" si="1"/>
        <v>0</v>
      </c>
      <c r="AE9" s="196">
        <f t="shared" si="1"/>
        <v>0</v>
      </c>
      <c r="AF9" s="196">
        <f t="shared" si="1"/>
        <v>0</v>
      </c>
      <c r="AG9" s="196">
        <f t="shared" si="1"/>
        <v>0</v>
      </c>
      <c r="AH9" s="196">
        <f t="shared" si="1"/>
        <v>0</v>
      </c>
      <c r="AI9" s="196">
        <f t="shared" si="1"/>
        <v>0</v>
      </c>
      <c r="AJ9" s="196">
        <f t="shared" si="1"/>
        <v>0</v>
      </c>
      <c r="AK9" s="196">
        <f t="shared" si="1"/>
        <v>0</v>
      </c>
      <c r="AL9" s="196">
        <f t="shared" si="1"/>
        <v>0</v>
      </c>
      <c r="AM9" s="196">
        <f t="shared" si="1"/>
        <v>0</v>
      </c>
      <c r="AN9" s="196">
        <f t="shared" si="1"/>
        <v>0</v>
      </c>
      <c r="AO9" s="196">
        <f t="shared" si="1"/>
        <v>0</v>
      </c>
      <c r="AP9" s="196">
        <f t="shared" si="1"/>
        <v>0</v>
      </c>
      <c r="AQ9" s="196">
        <f t="shared" si="1"/>
        <v>0</v>
      </c>
      <c r="AR9" s="196">
        <f t="shared" si="1"/>
        <v>0</v>
      </c>
      <c r="AS9" s="196">
        <f t="shared" si="1"/>
        <v>0</v>
      </c>
    </row>
    <row r="10" spans="1:45" s="59" customFormat="1">
      <c r="A10" s="194"/>
      <c r="B10" s="88" t="s">
        <v>189</v>
      </c>
      <c r="C10" s="89" t="s">
        <v>185</v>
      </c>
      <c r="D10" s="88"/>
      <c r="E10" s="195"/>
      <c r="F10" s="195"/>
      <c r="G10" s="195"/>
      <c r="H10" s="195"/>
      <c r="I10" s="195"/>
      <c r="J10" s="195">
        <f>-pumpcost2*1000000</f>
        <v>-500000</v>
      </c>
      <c r="K10" s="195"/>
      <c r="L10" s="195"/>
      <c r="M10" s="195"/>
      <c r="N10" s="195"/>
      <c r="O10" s="195">
        <f>-pumpcost2*1000000</f>
        <v>-500000</v>
      </c>
      <c r="P10" s="195"/>
      <c r="Q10" s="195"/>
      <c r="R10" s="195"/>
      <c r="S10" s="195"/>
      <c r="T10" s="195">
        <f>-pumpcost2*1000000</f>
        <v>-500000</v>
      </c>
      <c r="U10" s="195"/>
      <c r="V10" s="195"/>
      <c r="W10" s="195"/>
      <c r="X10" s="195"/>
      <c r="Y10" s="195">
        <f>-pumpcost2*1000000</f>
        <v>-500000</v>
      </c>
      <c r="Z10" s="195"/>
      <c r="AA10" s="195"/>
      <c r="AB10" s="195"/>
      <c r="AC10" s="195"/>
      <c r="AD10" s="195">
        <f>-pumpcost2*1000000</f>
        <v>-500000</v>
      </c>
      <c r="AE10" s="195"/>
      <c r="AF10" s="195"/>
      <c r="AG10" s="195"/>
      <c r="AH10" s="195"/>
      <c r="AI10" s="195">
        <f>-pumpcost2*1000000</f>
        <v>-500000</v>
      </c>
      <c r="AJ10" s="195"/>
      <c r="AK10" s="195"/>
      <c r="AL10" s="195"/>
      <c r="AM10" s="195"/>
      <c r="AN10" s="195">
        <f>-pumpcost2*1000000</f>
        <v>-500000</v>
      </c>
      <c r="AO10" s="195"/>
      <c r="AP10" s="195"/>
      <c r="AQ10" s="195"/>
      <c r="AR10" s="195"/>
      <c r="AS10" s="195">
        <f>-pumpcost2*1000000</f>
        <v>-500000</v>
      </c>
    </row>
    <row r="11" spans="1:45">
      <c r="A11" s="53"/>
      <c r="B11" s="54" t="s">
        <v>190</v>
      </c>
      <c r="C11" s="54" t="s">
        <v>185</v>
      </c>
      <c r="D11" s="54"/>
      <c r="E11" s="192"/>
      <c r="F11" s="192">
        <f t="shared" ref="F11:AS11" si="2">IF(F4&gt;lifetime,0,heat_mwth*1000*coheatloadhours*coheat_feedin*0.01)</f>
        <v>5247097.662161326</v>
      </c>
      <c r="G11" s="192">
        <f t="shared" si="2"/>
        <v>5247097.662161326</v>
      </c>
      <c r="H11" s="192">
        <f t="shared" si="2"/>
        <v>5247097.662161326</v>
      </c>
      <c r="I11" s="192">
        <f t="shared" si="2"/>
        <v>5247097.662161326</v>
      </c>
      <c r="J11" s="192">
        <f t="shared" si="2"/>
        <v>5247097.662161326</v>
      </c>
      <c r="K11" s="192">
        <f t="shared" si="2"/>
        <v>5247097.662161326</v>
      </c>
      <c r="L11" s="192">
        <f t="shared" si="2"/>
        <v>5247097.662161326</v>
      </c>
      <c r="M11" s="192">
        <f t="shared" si="2"/>
        <v>5247097.662161326</v>
      </c>
      <c r="N11" s="192">
        <f t="shared" si="2"/>
        <v>5247097.662161326</v>
      </c>
      <c r="O11" s="192">
        <f t="shared" si="2"/>
        <v>5247097.662161326</v>
      </c>
      <c r="P11" s="192">
        <f t="shared" si="2"/>
        <v>5247097.662161326</v>
      </c>
      <c r="Q11" s="192">
        <f t="shared" si="2"/>
        <v>5247097.662161326</v>
      </c>
      <c r="R11" s="192">
        <f t="shared" si="2"/>
        <v>5247097.662161326</v>
      </c>
      <c r="S11" s="192">
        <f t="shared" si="2"/>
        <v>5247097.662161326</v>
      </c>
      <c r="T11" s="192">
        <f t="shared" si="2"/>
        <v>5247097.662161326</v>
      </c>
      <c r="U11" s="192">
        <f t="shared" si="2"/>
        <v>0</v>
      </c>
      <c r="V11" s="192">
        <f t="shared" si="2"/>
        <v>0</v>
      </c>
      <c r="W11" s="192">
        <f t="shared" si="2"/>
        <v>0</v>
      </c>
      <c r="X11" s="192">
        <f t="shared" si="2"/>
        <v>0</v>
      </c>
      <c r="Y11" s="192">
        <f t="shared" si="2"/>
        <v>0</v>
      </c>
      <c r="Z11" s="192">
        <f t="shared" si="2"/>
        <v>0</v>
      </c>
      <c r="AA11" s="192">
        <f t="shared" si="2"/>
        <v>0</v>
      </c>
      <c r="AB11" s="192">
        <f t="shared" si="2"/>
        <v>0</v>
      </c>
      <c r="AC11" s="192">
        <f t="shared" si="2"/>
        <v>0</v>
      </c>
      <c r="AD11" s="192">
        <f t="shared" si="2"/>
        <v>0</v>
      </c>
      <c r="AE11" s="192">
        <f t="shared" si="2"/>
        <v>0</v>
      </c>
      <c r="AF11" s="192">
        <f t="shared" si="2"/>
        <v>0</v>
      </c>
      <c r="AG11" s="192">
        <f t="shared" si="2"/>
        <v>0</v>
      </c>
      <c r="AH11" s="192">
        <f t="shared" si="2"/>
        <v>0</v>
      </c>
      <c r="AI11" s="192">
        <f t="shared" si="2"/>
        <v>0</v>
      </c>
      <c r="AJ11" s="192">
        <f t="shared" si="2"/>
        <v>0</v>
      </c>
      <c r="AK11" s="192">
        <f t="shared" si="2"/>
        <v>0</v>
      </c>
      <c r="AL11" s="192">
        <f t="shared" si="2"/>
        <v>0</v>
      </c>
      <c r="AM11" s="192">
        <f t="shared" si="2"/>
        <v>0</v>
      </c>
      <c r="AN11" s="192">
        <f t="shared" si="2"/>
        <v>0</v>
      </c>
      <c r="AO11" s="192">
        <f t="shared" si="2"/>
        <v>0</v>
      </c>
      <c r="AP11" s="192">
        <f t="shared" si="2"/>
        <v>0</v>
      </c>
      <c r="AQ11" s="192">
        <f t="shared" si="2"/>
        <v>0</v>
      </c>
      <c r="AR11" s="192">
        <f t="shared" si="2"/>
        <v>0</v>
      </c>
      <c r="AS11" s="192">
        <f t="shared" si="2"/>
        <v>0</v>
      </c>
    </row>
    <row r="12" spans="1:45" ht="6.75" customHeight="1">
      <c r="A12" s="53"/>
      <c r="B12" s="54"/>
      <c r="C12" s="54"/>
      <c r="D12" s="54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3"/>
    </row>
    <row r="13" spans="1:45">
      <c r="A13" s="53"/>
      <c r="B13" s="54" t="s">
        <v>191</v>
      </c>
      <c r="C13" s="54" t="s">
        <v>185</v>
      </c>
      <c r="D13" s="54"/>
      <c r="E13" s="192"/>
      <c r="F13" s="192">
        <f t="shared" ref="F13:AS13" si="3">IF(F4&gt;lifetime,0,POWER(1+inflation,F4-$F$4)*SUM(F11:F11))</f>
        <v>5247097.662161326</v>
      </c>
      <c r="G13" s="192">
        <f t="shared" si="3"/>
        <v>5325804.1270937454</v>
      </c>
      <c r="H13" s="192">
        <f t="shared" si="3"/>
        <v>5405691.1890001511</v>
      </c>
      <c r="I13" s="192">
        <f t="shared" si="3"/>
        <v>5486776.5568351522</v>
      </c>
      <c r="J13" s="192">
        <f t="shared" si="3"/>
        <v>5569078.2051876783</v>
      </c>
      <c r="K13" s="192">
        <f t="shared" si="3"/>
        <v>5652614.3782654935</v>
      </c>
      <c r="L13" s="192">
        <f t="shared" si="3"/>
        <v>5737403.5939394748</v>
      </c>
      <c r="M13" s="192">
        <f t="shared" si="3"/>
        <v>5823464.6478485661</v>
      </c>
      <c r="N13" s="192">
        <f t="shared" si="3"/>
        <v>5910816.617566294</v>
      </c>
      <c r="O13" s="192">
        <f t="shared" si="3"/>
        <v>5999478.8668297874</v>
      </c>
      <c r="P13" s="192">
        <f t="shared" si="3"/>
        <v>6089471.0498322332</v>
      </c>
      <c r="Q13" s="192">
        <f t="shared" si="3"/>
        <v>6180813.1155797159</v>
      </c>
      <c r="R13" s="192">
        <f t="shared" si="3"/>
        <v>6273525.3123134105</v>
      </c>
      <c r="S13" s="192">
        <f t="shared" si="3"/>
        <v>6367628.1919981111</v>
      </c>
      <c r="T13" s="192">
        <f t="shared" si="3"/>
        <v>6463142.6148780817</v>
      </c>
      <c r="U13" s="192">
        <f t="shared" si="3"/>
        <v>0</v>
      </c>
      <c r="V13" s="192">
        <f t="shared" si="3"/>
        <v>0</v>
      </c>
      <c r="W13" s="192">
        <f t="shared" si="3"/>
        <v>0</v>
      </c>
      <c r="X13" s="192">
        <f t="shared" si="3"/>
        <v>0</v>
      </c>
      <c r="Y13" s="192">
        <f t="shared" si="3"/>
        <v>0</v>
      </c>
      <c r="Z13" s="192">
        <f t="shared" si="3"/>
        <v>0</v>
      </c>
      <c r="AA13" s="192">
        <f t="shared" si="3"/>
        <v>0</v>
      </c>
      <c r="AB13" s="192">
        <f t="shared" si="3"/>
        <v>0</v>
      </c>
      <c r="AC13" s="192">
        <f t="shared" si="3"/>
        <v>0</v>
      </c>
      <c r="AD13" s="192">
        <f t="shared" si="3"/>
        <v>0</v>
      </c>
      <c r="AE13" s="192">
        <f t="shared" si="3"/>
        <v>0</v>
      </c>
      <c r="AF13" s="192">
        <f t="shared" si="3"/>
        <v>0</v>
      </c>
      <c r="AG13" s="192">
        <f t="shared" si="3"/>
        <v>0</v>
      </c>
      <c r="AH13" s="192">
        <f t="shared" si="3"/>
        <v>0</v>
      </c>
      <c r="AI13" s="192">
        <f t="shared" si="3"/>
        <v>0</v>
      </c>
      <c r="AJ13" s="192">
        <f t="shared" si="3"/>
        <v>0</v>
      </c>
      <c r="AK13" s="192">
        <f t="shared" si="3"/>
        <v>0</v>
      </c>
      <c r="AL13" s="192">
        <f t="shared" si="3"/>
        <v>0</v>
      </c>
      <c r="AM13" s="192">
        <f t="shared" si="3"/>
        <v>0</v>
      </c>
      <c r="AN13" s="192">
        <f t="shared" si="3"/>
        <v>0</v>
      </c>
      <c r="AO13" s="192">
        <f t="shared" si="3"/>
        <v>0</v>
      </c>
      <c r="AP13" s="192">
        <f t="shared" si="3"/>
        <v>0</v>
      </c>
      <c r="AQ13" s="192">
        <f t="shared" si="3"/>
        <v>0</v>
      </c>
      <c r="AR13" s="192">
        <f t="shared" si="3"/>
        <v>0</v>
      </c>
      <c r="AS13" s="192">
        <f t="shared" si="3"/>
        <v>0</v>
      </c>
    </row>
    <row r="14" spans="1:45">
      <c r="A14" s="71"/>
      <c r="B14" s="70" t="s">
        <v>192</v>
      </c>
      <c r="C14" s="70" t="s">
        <v>185</v>
      </c>
      <c r="D14" s="70"/>
      <c r="E14" s="197"/>
      <c r="F14" s="198">
        <f t="shared" ref="F14:AS14" si="4">IF(F4&gt;lifetime,0,POWER(1+inflation,F4-$F$4)*SUM(F9:F10))</f>
        <v>-2505773.462629973</v>
      </c>
      <c r="G14" s="197">
        <f t="shared" si="4"/>
        <v>-2543360.0645694225</v>
      </c>
      <c r="H14" s="197">
        <f t="shared" si="4"/>
        <v>-2581510.465537963</v>
      </c>
      <c r="I14" s="197">
        <f t="shared" si="4"/>
        <v>-2620233.1225210326</v>
      </c>
      <c r="J14" s="197">
        <f t="shared" si="4"/>
        <v>-3190218.394671347</v>
      </c>
      <c r="K14" s="197">
        <f t="shared" si="4"/>
        <v>-2699429.6686492297</v>
      </c>
      <c r="L14" s="197">
        <f t="shared" si="4"/>
        <v>-2739921.1136789676</v>
      </c>
      <c r="M14" s="197">
        <f t="shared" si="4"/>
        <v>-2781019.9303841516</v>
      </c>
      <c r="N14" s="197">
        <f t="shared" si="4"/>
        <v>-2822735.2293399139</v>
      </c>
      <c r="O14" s="197">
        <f t="shared" si="4"/>
        <v>-3436771.2454771297</v>
      </c>
      <c r="P14" s="197">
        <f t="shared" si="4"/>
        <v>-2908052.4016467119</v>
      </c>
      <c r="Q14" s="197">
        <f t="shared" si="4"/>
        <v>-2951673.1876714122</v>
      </c>
      <c r="R14" s="197">
        <f t="shared" si="4"/>
        <v>-2995948.285486483</v>
      </c>
      <c r="S14" s="197">
        <f t="shared" si="4"/>
        <v>-3040887.5097687799</v>
      </c>
      <c r="T14" s="197">
        <f t="shared" si="4"/>
        <v>-3702378.6877622898</v>
      </c>
      <c r="U14" s="197">
        <f t="shared" si="4"/>
        <v>0</v>
      </c>
      <c r="V14" s="197">
        <f t="shared" si="4"/>
        <v>0</v>
      </c>
      <c r="W14" s="197">
        <f t="shared" si="4"/>
        <v>0</v>
      </c>
      <c r="X14" s="197">
        <f t="shared" si="4"/>
        <v>0</v>
      </c>
      <c r="Y14" s="197">
        <f t="shared" si="4"/>
        <v>0</v>
      </c>
      <c r="Z14" s="197">
        <f t="shared" si="4"/>
        <v>0</v>
      </c>
      <c r="AA14" s="197">
        <f t="shared" si="4"/>
        <v>0</v>
      </c>
      <c r="AB14" s="197">
        <f t="shared" si="4"/>
        <v>0</v>
      </c>
      <c r="AC14" s="197">
        <f t="shared" si="4"/>
        <v>0</v>
      </c>
      <c r="AD14" s="197">
        <f t="shared" si="4"/>
        <v>0</v>
      </c>
      <c r="AE14" s="197">
        <f t="shared" si="4"/>
        <v>0</v>
      </c>
      <c r="AF14" s="197">
        <f t="shared" si="4"/>
        <v>0</v>
      </c>
      <c r="AG14" s="197">
        <f t="shared" si="4"/>
        <v>0</v>
      </c>
      <c r="AH14" s="197">
        <f t="shared" si="4"/>
        <v>0</v>
      </c>
      <c r="AI14" s="197">
        <f t="shared" si="4"/>
        <v>0</v>
      </c>
      <c r="AJ14" s="197">
        <f t="shared" si="4"/>
        <v>0</v>
      </c>
      <c r="AK14" s="197">
        <f t="shared" si="4"/>
        <v>0</v>
      </c>
      <c r="AL14" s="197">
        <f t="shared" si="4"/>
        <v>0</v>
      </c>
      <c r="AM14" s="197">
        <f t="shared" si="4"/>
        <v>0</v>
      </c>
      <c r="AN14" s="197">
        <f t="shared" si="4"/>
        <v>0</v>
      </c>
      <c r="AO14" s="197">
        <f t="shared" si="4"/>
        <v>0</v>
      </c>
      <c r="AP14" s="197">
        <f t="shared" si="4"/>
        <v>0</v>
      </c>
      <c r="AQ14" s="197">
        <f t="shared" si="4"/>
        <v>0</v>
      </c>
      <c r="AR14" s="197">
        <f t="shared" si="4"/>
        <v>0</v>
      </c>
      <c r="AS14" s="199">
        <f t="shared" si="4"/>
        <v>0</v>
      </c>
    </row>
    <row r="15" spans="1:45">
      <c r="A15" s="15"/>
      <c r="B15" s="15" t="s">
        <v>193</v>
      </c>
      <c r="C15" s="16" t="s">
        <v>185</v>
      </c>
      <c r="D15" s="16"/>
      <c r="E15" s="17"/>
      <c r="F15" s="17">
        <f>SUM(F13:F14)</f>
        <v>2741324.1995313531</v>
      </c>
      <c r="G15" s="17">
        <f t="shared" ref="G15:AS15" si="5">SUM(G13:G14)</f>
        <v>2782444.0625243229</v>
      </c>
      <c r="H15" s="17">
        <f t="shared" si="5"/>
        <v>2824180.7234621882</v>
      </c>
      <c r="I15" s="17">
        <f t="shared" si="5"/>
        <v>2866543.4343141196</v>
      </c>
      <c r="J15" s="17">
        <f t="shared" si="5"/>
        <v>2378859.8105163313</v>
      </c>
      <c r="K15" s="17">
        <f t="shared" si="5"/>
        <v>2953184.7096162639</v>
      </c>
      <c r="L15" s="17">
        <f t="shared" si="5"/>
        <v>2997482.4802605072</v>
      </c>
      <c r="M15" s="17">
        <f t="shared" si="5"/>
        <v>3042444.7174644144</v>
      </c>
      <c r="N15" s="17">
        <f t="shared" si="5"/>
        <v>3088081.3882263801</v>
      </c>
      <c r="O15" s="17">
        <f t="shared" si="5"/>
        <v>2562707.6213526577</v>
      </c>
      <c r="P15" s="17">
        <f t="shared" si="5"/>
        <v>3181418.6481855214</v>
      </c>
      <c r="Q15" s="17">
        <f t="shared" si="5"/>
        <v>3229139.9279083037</v>
      </c>
      <c r="R15" s="17">
        <f t="shared" si="5"/>
        <v>3277577.0268269274</v>
      </c>
      <c r="S15" s="17">
        <f t="shared" si="5"/>
        <v>3326740.6822293312</v>
      </c>
      <c r="T15" s="17">
        <f t="shared" si="5"/>
        <v>2760763.9271157919</v>
      </c>
      <c r="U15" s="17">
        <f t="shared" si="5"/>
        <v>0</v>
      </c>
      <c r="V15" s="17">
        <f t="shared" si="5"/>
        <v>0</v>
      </c>
      <c r="W15" s="17">
        <f t="shared" si="5"/>
        <v>0</v>
      </c>
      <c r="X15" s="17">
        <f t="shared" si="5"/>
        <v>0</v>
      </c>
      <c r="Y15" s="17">
        <f t="shared" si="5"/>
        <v>0</v>
      </c>
      <c r="Z15" s="17">
        <f t="shared" si="5"/>
        <v>0</v>
      </c>
      <c r="AA15" s="17">
        <f t="shared" si="5"/>
        <v>0</v>
      </c>
      <c r="AB15" s="17">
        <f t="shared" si="5"/>
        <v>0</v>
      </c>
      <c r="AC15" s="17">
        <f t="shared" si="5"/>
        <v>0</v>
      </c>
      <c r="AD15" s="17">
        <f t="shared" si="5"/>
        <v>0</v>
      </c>
      <c r="AE15" s="17">
        <f t="shared" si="5"/>
        <v>0</v>
      </c>
      <c r="AF15" s="17">
        <f t="shared" si="5"/>
        <v>0</v>
      </c>
      <c r="AG15" s="17">
        <f t="shared" si="5"/>
        <v>0</v>
      </c>
      <c r="AH15" s="17">
        <f t="shared" si="5"/>
        <v>0</v>
      </c>
      <c r="AI15" s="17">
        <f t="shared" si="5"/>
        <v>0</v>
      </c>
      <c r="AJ15" s="17">
        <f t="shared" si="5"/>
        <v>0</v>
      </c>
      <c r="AK15" s="17">
        <f t="shared" si="5"/>
        <v>0</v>
      </c>
      <c r="AL15" s="17">
        <f t="shared" si="5"/>
        <v>0</v>
      </c>
      <c r="AM15" s="17">
        <f t="shared" si="5"/>
        <v>0</v>
      </c>
      <c r="AN15" s="17">
        <f t="shared" si="5"/>
        <v>0</v>
      </c>
      <c r="AO15" s="17">
        <f t="shared" si="5"/>
        <v>0</v>
      </c>
      <c r="AP15" s="17">
        <f t="shared" si="5"/>
        <v>0</v>
      </c>
      <c r="AQ15" s="17">
        <f t="shared" si="5"/>
        <v>0</v>
      </c>
      <c r="AR15" s="17">
        <f t="shared" si="5"/>
        <v>0</v>
      </c>
      <c r="AS15" s="18">
        <f t="shared" si="5"/>
        <v>0</v>
      </c>
    </row>
    <row r="16" spans="1:45" s="3" customFormat="1" ht="6.75" customHeight="1">
      <c r="A16" s="72"/>
      <c r="B16" s="53"/>
      <c r="C16" s="54"/>
      <c r="D16" s="54"/>
      <c r="E16" s="192"/>
      <c r="F16" s="192"/>
      <c r="G16" s="192"/>
      <c r="H16" s="192"/>
      <c r="I16" s="192"/>
      <c r="J16" s="192"/>
      <c r="K16" s="192"/>
      <c r="L16" s="192"/>
      <c r="M16" s="192"/>
      <c r="N16" s="192"/>
      <c r="O16" s="192"/>
      <c r="P16" s="192"/>
      <c r="Q16" s="192"/>
      <c r="R16" s="192"/>
      <c r="S16" s="192"/>
      <c r="T16" s="192"/>
      <c r="U16" s="192"/>
      <c r="V16" s="192"/>
      <c r="W16" s="192"/>
      <c r="X16" s="192"/>
      <c r="Y16" s="192"/>
      <c r="Z16" s="192"/>
      <c r="AA16" s="192"/>
      <c r="AB16" s="192"/>
      <c r="AC16" s="192"/>
      <c r="AD16" s="192"/>
      <c r="AE16" s="192"/>
      <c r="AF16" s="192"/>
      <c r="AG16" s="192"/>
      <c r="AH16" s="192"/>
      <c r="AI16" s="192"/>
      <c r="AJ16" s="192"/>
      <c r="AK16" s="192"/>
      <c r="AL16" s="192"/>
      <c r="AM16" s="192"/>
      <c r="AN16" s="192"/>
      <c r="AO16" s="192"/>
      <c r="AP16" s="192"/>
      <c r="AQ16" s="192"/>
      <c r="AR16" s="192"/>
      <c r="AS16" s="193"/>
    </row>
    <row r="17" spans="1:45">
      <c r="A17" s="53"/>
      <c r="B17" s="53" t="s">
        <v>194</v>
      </c>
      <c r="C17" s="54" t="s">
        <v>185</v>
      </c>
      <c r="D17" s="54"/>
      <c r="E17" s="192"/>
      <c r="F17" s="192">
        <f>IF(F4&gt;depreciation_time,0,-CFpower!$C$30/depreciation_time)</f>
        <v>-1475178.2008944785</v>
      </c>
      <c r="G17" s="192">
        <f>IF(G4&gt;depreciation_time,0,-CFpower!$C$30/depreciation_time)</f>
        <v>-1475178.2008944785</v>
      </c>
      <c r="H17" s="192">
        <f>IF(H4&gt;depreciation_time,0,-CFpower!$C$30/depreciation_time)</f>
        <v>-1475178.2008944785</v>
      </c>
      <c r="I17" s="192">
        <f>IF(I4&gt;depreciation_time,0,-CFpower!$C$30/depreciation_time)</f>
        <v>-1475178.2008944785</v>
      </c>
      <c r="J17" s="192">
        <f>IF(J4&gt;depreciation_time,0,-CFpower!$C$30/depreciation_time)</f>
        <v>-1475178.2008944785</v>
      </c>
      <c r="K17" s="192">
        <f>IF(K4&gt;depreciation_time,0,-CFpower!$C$30/depreciation_time)</f>
        <v>-1475178.2008944785</v>
      </c>
      <c r="L17" s="192">
        <f>IF(L4&gt;depreciation_time,0,-CFpower!$C$30/depreciation_time)</f>
        <v>-1475178.2008944785</v>
      </c>
      <c r="M17" s="192">
        <f>IF(M4&gt;depreciation_time,0,-CFpower!$C$30/depreciation_time)</f>
        <v>-1475178.2008944785</v>
      </c>
      <c r="N17" s="192">
        <f>IF(N4&gt;depreciation_time,0,-CFpower!$C$30/depreciation_time)</f>
        <v>-1475178.2008944785</v>
      </c>
      <c r="O17" s="192">
        <f>IF(O4&gt;depreciation_time,0,-CFpower!$C$30/depreciation_time)</f>
        <v>-1475178.2008944785</v>
      </c>
      <c r="P17" s="192">
        <f>IF(P4&gt;depreciation_time,0,-CFpower!$C$30/depreciation_time)</f>
        <v>-1475178.2008944785</v>
      </c>
      <c r="Q17" s="192">
        <f>IF(Q4&gt;depreciation_time,0,-CFpower!$C$30/depreciation_time)</f>
        <v>-1475178.2008944785</v>
      </c>
      <c r="R17" s="192">
        <f>IF(R4&gt;depreciation_time,0,-CFpower!$C$30/depreciation_time)</f>
        <v>-1475178.2008944785</v>
      </c>
      <c r="S17" s="192">
        <f>IF(S4&gt;depreciation_time,0,-CFpower!$C$30/depreciation_time)</f>
        <v>-1475178.2008944785</v>
      </c>
      <c r="T17" s="192">
        <f>IF(T4&gt;depreciation_time,0,-CFpower!$C$30/depreciation_time)</f>
        <v>-1475178.2008944785</v>
      </c>
      <c r="U17" s="192">
        <f>IF(U4&gt;depreciation_time,0,-CFpower!$C$30/depreciation_time)</f>
        <v>0</v>
      </c>
      <c r="V17" s="192">
        <f>IF(V4&gt;depreciation_time,0,-CFpower!$C$30/depreciation_time)</f>
        <v>0</v>
      </c>
      <c r="W17" s="192">
        <f>IF(W4&gt;depreciation_time,0,-CFpower!$C$30/depreciation_time)</f>
        <v>0</v>
      </c>
      <c r="X17" s="192">
        <f>IF(X4&gt;depreciation_time,0,-CFpower!$C$30/depreciation_time)</f>
        <v>0</v>
      </c>
      <c r="Y17" s="192">
        <f>IF(Y4&gt;depreciation_time,0,-CFpower!$C$30/depreciation_time)</f>
        <v>0</v>
      </c>
      <c r="Z17" s="192">
        <f>IF(Z4&gt;depreciation_time,0,-CFpower!$C$30/depreciation_time)</f>
        <v>0</v>
      </c>
      <c r="AA17" s="192">
        <f>IF(AA4&gt;depreciation_time,0,-CFpower!$C$30/depreciation_time)</f>
        <v>0</v>
      </c>
      <c r="AB17" s="192">
        <f>IF(AB4&gt;depreciation_time,0,-CFpower!$C$30/depreciation_time)</f>
        <v>0</v>
      </c>
      <c r="AC17" s="192">
        <f>IF(AC4&gt;depreciation_time,0,-CFpower!$C$30/depreciation_time)</f>
        <v>0</v>
      </c>
      <c r="AD17" s="192">
        <f>IF(AD4&gt;depreciation_time,0,-CFpower!$C$30/depreciation_time)</f>
        <v>0</v>
      </c>
      <c r="AE17" s="192">
        <f>IF(AE4&gt;depreciation_time,0,-CFpower!$C$30/depreciation_time)</f>
        <v>0</v>
      </c>
      <c r="AF17" s="192">
        <f>IF(AF4&gt;depreciation_time,0,-CFpower!$C$30/depreciation_time)</f>
        <v>0</v>
      </c>
      <c r="AG17" s="192">
        <f>IF(AG4&gt;depreciation_time,0,-CFpower!$C$30/depreciation_time)</f>
        <v>0</v>
      </c>
      <c r="AH17" s="192">
        <f>IF(AH4&gt;depreciation_time,0,-CFpower!$C$30/depreciation_time)</f>
        <v>0</v>
      </c>
      <c r="AI17" s="192">
        <f>IF(AI4&gt;depreciation_time,0,-CFpower!$C$30/depreciation_time)</f>
        <v>0</v>
      </c>
      <c r="AJ17" s="192">
        <f>IF(AJ4&gt;depreciation_time,0,-CFpower!$C$30/depreciation_time)</f>
        <v>0</v>
      </c>
      <c r="AK17" s="192">
        <f>IF(AK4&gt;depreciation_time,0,-CFpower!$C$30/depreciation_time)</f>
        <v>0</v>
      </c>
      <c r="AL17" s="192">
        <f>IF(AL4&gt;depreciation_time,0,-CFpower!$C$30/depreciation_time)</f>
        <v>0</v>
      </c>
      <c r="AM17" s="192">
        <f>IF(AM4&gt;depreciation_time,0,-CFpower!$C$30/depreciation_time)</f>
        <v>0</v>
      </c>
      <c r="AN17" s="192">
        <f>IF(AN4&gt;depreciation_time,0,-CFpower!$C$30/depreciation_time)</f>
        <v>0</v>
      </c>
      <c r="AO17" s="192">
        <f>IF(AO4&gt;depreciation_time,0,-CFpower!$C$30/depreciation_time)</f>
        <v>0</v>
      </c>
      <c r="AP17" s="192">
        <f>IF(AP4&gt;depreciation_time,0,-CFpower!$C$30/depreciation_time)</f>
        <v>0</v>
      </c>
      <c r="AQ17" s="192">
        <f>IF(AQ4&gt;depreciation_time,0,-CFpower!$C$30/depreciation_time)</f>
        <v>0</v>
      </c>
      <c r="AR17" s="192">
        <f>IF(AR4&gt;depreciation_time,0,-CFpower!$C$30/depreciation_time)</f>
        <v>0</v>
      </c>
      <c r="AS17" s="193">
        <f>IF(AS4&gt;depreciation_time,0,-CFpower!$C$30/depreciation_time)</f>
        <v>0</v>
      </c>
    </row>
    <row r="18" spans="1:45">
      <c r="A18" s="53"/>
      <c r="B18" s="53" t="s">
        <v>195</v>
      </c>
      <c r="C18" s="53" t="s">
        <v>185</v>
      </c>
      <c r="D18" s="53"/>
      <c r="E18" s="192"/>
      <c r="F18" s="192">
        <f>IF(F4&gt;term_loan,0,IPMT(Input_Output!$D$67,F4,term_loan,CFpower!$C$35))</f>
        <v>-885106.92053668713</v>
      </c>
      <c r="G18" s="192">
        <f>IF(G4&gt;term_loan,0,IPMT(Input_Output!$D$67,G4,term_loan,CFpower!$C$35))</f>
        <v>-844089.04106024327</v>
      </c>
      <c r="H18" s="192">
        <f>IF(H4&gt;term_loan,0,IPMT(Input_Output!$D$67,H4,term_loan,CFpower!$C$35))</f>
        <v>-801020.26760997728</v>
      </c>
      <c r="I18" s="192">
        <f>IF(I4&gt;term_loan,0,IPMT(Input_Output!$D$67,I4,term_loan,CFpower!$C$35))</f>
        <v>-755798.05548719794</v>
      </c>
      <c r="J18" s="192">
        <f>IF(J4&gt;term_loan,0,IPMT(Input_Output!$D$67,J4,term_loan,CFpower!$C$35))</f>
        <v>-708314.73275827989</v>
      </c>
      <c r="K18" s="192">
        <f>IF(K4&gt;term_loan,0,IPMT(Input_Output!$D$67,K4,term_loan,CFpower!$C$35))</f>
        <v>-658457.2438929159</v>
      </c>
      <c r="L18" s="192">
        <f>IF(L4&gt;term_loan,0,IPMT(Input_Output!$D$67,L4,term_loan,CFpower!$C$35))</f>
        <v>-606106.88058428338</v>
      </c>
      <c r="M18" s="192">
        <f>IF(M4&gt;term_loan,0,IPMT(Input_Output!$D$67,M4,term_loan,CFpower!$C$35))</f>
        <v>-551138.99911021942</v>
      </c>
      <c r="N18" s="192">
        <f>IF(N4&gt;term_loan,0,IPMT(Input_Output!$D$67,N4,term_loan,CFpower!$C$35))</f>
        <v>-493422.72356245242</v>
      </c>
      <c r="O18" s="192">
        <f>IF(O4&gt;term_loan,0,IPMT(Input_Output!$D$67,O4,term_loan,CFpower!$C$35))</f>
        <v>-432820.63423729688</v>
      </c>
      <c r="P18" s="192">
        <f>IF(P4&gt;term_loan,0,IPMT(Input_Output!$D$67,P4,term_loan,CFpower!$C$35))</f>
        <v>-369188.44044588361</v>
      </c>
      <c r="Q18" s="192">
        <f>IF(Q4&gt;term_loan,0,IPMT(Input_Output!$D$67,Q4,term_loan,CFpower!$C$35))</f>
        <v>-302374.63696489966</v>
      </c>
      <c r="R18" s="192">
        <f>IF(R4&gt;term_loan,0,IPMT(Input_Output!$D$67,R4,term_loan,CFpower!$C$35))</f>
        <v>-232220.14330986651</v>
      </c>
      <c r="S18" s="192">
        <f>IF(S4&gt;term_loan,0,IPMT(Input_Output!$D$67,S4,term_loan,CFpower!$C$35))</f>
        <v>-158557.92497208176</v>
      </c>
      <c r="T18" s="192">
        <f>IF(T4&gt;term_loan,0,IPMT(Input_Output!$D$67,T4,term_loan,CFpower!$C$35))</f>
        <v>-81212.595717407734</v>
      </c>
      <c r="U18" s="192">
        <f>IF(U4&gt;term_loan,0,IPMT(Input_Output!$D$67,U4,term_loan,CFpower!$C$35))</f>
        <v>0</v>
      </c>
      <c r="V18" s="192">
        <f>IF(V4&gt;term_loan,0,IPMT(Input_Output!$D$67,V4,term_loan,CFpower!$C$35))</f>
        <v>0</v>
      </c>
      <c r="W18" s="192">
        <f>IF(W4&gt;term_loan,0,IPMT(Input_Output!$D$67,W4,term_loan,CFpower!$C$35))</f>
        <v>0</v>
      </c>
      <c r="X18" s="192">
        <f>IF(X4&gt;term_loan,0,IPMT(Input_Output!$D$67,X4,term_loan,CFpower!$C$35))</f>
        <v>0</v>
      </c>
      <c r="Y18" s="192">
        <f>IF(Y4&gt;term_loan,0,IPMT(Input_Output!$D$67,Y4,term_loan,CFpower!$C$35))</f>
        <v>0</v>
      </c>
      <c r="Z18" s="192">
        <f>IF(Z4&gt;term_loan,0,IPMT(Input_Output!$D$67,Z4,term_loan,CFpower!$C$35))</f>
        <v>0</v>
      </c>
      <c r="AA18" s="192">
        <f>IF(AA4&gt;term_loan,0,IPMT(Input_Output!$D$67,AA4,term_loan,CFpower!$C$35))</f>
        <v>0</v>
      </c>
      <c r="AB18" s="192">
        <f>IF(AB4&gt;term_loan,0,IPMT(Input_Output!$D$67,AB4,term_loan,CFpower!$C$35))</f>
        <v>0</v>
      </c>
      <c r="AC18" s="192">
        <f>IF(AC4&gt;term_loan,0,IPMT(Input_Output!$D$67,AC4,term_loan,CFpower!$C$35))</f>
        <v>0</v>
      </c>
      <c r="AD18" s="192">
        <f>IF(AD4&gt;term_loan,0,IPMT(Input_Output!$D$67,AD4,term_loan,CFpower!$C$35))</f>
        <v>0</v>
      </c>
      <c r="AE18" s="192">
        <f>IF(AE4&gt;term_loan,0,IPMT(Input_Output!$D$67,AE4,term_loan,CFpower!$C$35))</f>
        <v>0</v>
      </c>
      <c r="AF18" s="192">
        <f>IF(AF4&gt;term_loan,0,IPMT(Input_Output!$D$67,AF4,term_loan,CFpower!$C$35))</f>
        <v>0</v>
      </c>
      <c r="AG18" s="192">
        <f>IF(AG4&gt;term_loan,0,IPMT(Input_Output!$D$67,AG4,term_loan,CFpower!$C$35))</f>
        <v>0</v>
      </c>
      <c r="AH18" s="192">
        <f>IF(AH4&gt;term_loan,0,IPMT(Input_Output!$D$67,AH4,term_loan,CFpower!$C$35))</f>
        <v>0</v>
      </c>
      <c r="AI18" s="192">
        <f>IF(AI4&gt;term_loan,0,IPMT(Input_Output!$D$67,AI4,term_loan,CFpower!$C$35))</f>
        <v>0</v>
      </c>
      <c r="AJ18" s="192">
        <f>IF(AJ4&gt;term_loan,0,IPMT(Input_Output!$D$67,AJ4,term_loan,CFpower!$C$35))</f>
        <v>0</v>
      </c>
      <c r="AK18" s="192">
        <f>IF(AK4&gt;term_loan,0,IPMT(Input_Output!$D$67,AK4,term_loan,CFpower!$C$35))</f>
        <v>0</v>
      </c>
      <c r="AL18" s="192">
        <f>IF(AL4&gt;term_loan,0,IPMT(Input_Output!$D$67,AL4,term_loan,CFpower!$C$35))</f>
        <v>0</v>
      </c>
      <c r="AM18" s="192">
        <f>IF(AM4&gt;term_loan,0,IPMT(Input_Output!$D$67,AM4,term_loan,CFpower!$C$35))</f>
        <v>0</v>
      </c>
      <c r="AN18" s="192">
        <f>IF(AN4&gt;term_loan,0,IPMT(Input_Output!$D$67,AN4,term_loan,CFpower!$C$35))</f>
        <v>0</v>
      </c>
      <c r="AO18" s="192">
        <f>IF(AO4&gt;term_loan,0,IPMT(Input_Output!$D$67,AO4,term_loan,CFpower!$C$35))</f>
        <v>0</v>
      </c>
      <c r="AP18" s="192">
        <f>IF(AP4&gt;term_loan,0,IPMT(Input_Output!$D$67,AP4,term_loan,CFpower!$C$35))</f>
        <v>0</v>
      </c>
      <c r="AQ18" s="192">
        <f>IF(AQ4&gt;term_loan,0,IPMT(Input_Output!$D$67,AQ4,term_loan,CFpower!$C$35))</f>
        <v>0</v>
      </c>
      <c r="AR18" s="192">
        <f>IF(AR4&gt;term_loan,0,IPMT(Input_Output!$D$67,AR4,term_loan,CFpower!$C$35))</f>
        <v>0</v>
      </c>
      <c r="AS18" s="193">
        <f>IF(AS4&gt;term_loan,0,IPMT(Input_Output!$D$67,AS4,term_loan,CFpower!$C$35))</f>
        <v>0</v>
      </c>
    </row>
    <row r="19" spans="1:45">
      <c r="A19" s="53"/>
      <c r="B19" s="53" t="s">
        <v>196</v>
      </c>
      <c r="C19" s="53" t="s">
        <v>185</v>
      </c>
      <c r="D19" s="53"/>
      <c r="E19" s="192"/>
      <c r="F19" s="192">
        <f>IF(F4&gt;term_loan,0,PPMT(Input_Output!$D$67,F4,term_loan,CFpower!$C$35))</f>
        <v>-820357.58952887496</v>
      </c>
      <c r="G19" s="192">
        <f>IF(G4&gt;term_loan,0,PPMT(Input_Output!$D$67,G4,term_loan,CFpower!$C$35))</f>
        <v>-861375.46900531882</v>
      </c>
      <c r="H19" s="192">
        <f>IF(H4&gt;term_loan,0,PPMT(Input_Output!$D$67,H4,term_loan,CFpower!$C$35))</f>
        <v>-904444.24245558458</v>
      </c>
      <c r="I19" s="192">
        <f>IF(I4&gt;term_loan,0,PPMT(Input_Output!$D$67,I4,term_loan,CFpower!$C$35))</f>
        <v>-949666.45457836392</v>
      </c>
      <c r="J19" s="192">
        <f>IF(J4&gt;term_loan,0,PPMT(Input_Output!$D$67,J4,term_loan,CFpower!$C$35))</f>
        <v>-997149.77730728209</v>
      </c>
      <c r="K19" s="192">
        <f>IF(K4&gt;term_loan,0,PPMT(Input_Output!$D$67,K4,term_loan,CFpower!$C$35))</f>
        <v>-1047007.2661726462</v>
      </c>
      <c r="L19" s="192">
        <f>IF(L4&gt;term_loan,0,PPMT(Input_Output!$D$67,L4,term_loan,CFpower!$C$35))</f>
        <v>-1099357.6294812784</v>
      </c>
      <c r="M19" s="192">
        <f>IF(M4&gt;term_loan,0,PPMT(Input_Output!$D$67,M4,term_loan,CFpower!$C$35))</f>
        <v>-1154325.5109553423</v>
      </c>
      <c r="N19" s="192">
        <f>IF(N4&gt;term_loan,0,PPMT(Input_Output!$D$67,N4,term_loan,CFpower!$C$35))</f>
        <v>-1212041.7865031096</v>
      </c>
      <c r="O19" s="192">
        <f>IF(O4&gt;term_loan,0,PPMT(Input_Output!$D$67,O4,term_loan,CFpower!$C$35))</f>
        <v>-1272643.8758282652</v>
      </c>
      <c r="P19" s="192">
        <f>IF(P4&gt;term_loan,0,PPMT(Input_Output!$D$67,P4,term_loan,CFpower!$C$35))</f>
        <v>-1336276.0696196784</v>
      </c>
      <c r="Q19" s="192">
        <f>IF(Q4&gt;term_loan,0,PPMT(Input_Output!$D$67,Q4,term_loan,CFpower!$C$35))</f>
        <v>-1403089.8731006624</v>
      </c>
      <c r="R19" s="192">
        <f>IF(R4&gt;term_loan,0,PPMT(Input_Output!$D$67,R4,term_loan,CFpower!$C$35))</f>
        <v>-1473244.3667556953</v>
      </c>
      <c r="S19" s="192">
        <f>IF(S4&gt;term_loan,0,PPMT(Input_Output!$D$67,S4,term_loan,CFpower!$C$35))</f>
        <v>-1546906.5850934803</v>
      </c>
      <c r="T19" s="192">
        <f>IF(T4&gt;term_loan,0,PPMT(Input_Output!$D$67,T4,term_loan,CFpower!$C$35))</f>
        <v>-1624251.9143481543</v>
      </c>
      <c r="U19" s="192">
        <f>IF(U4&gt;term_loan,0,PPMT(Input_Output!$D$67,U4,term_loan,CFpower!$C$35))</f>
        <v>0</v>
      </c>
      <c r="V19" s="192">
        <f>IF(V4&gt;term_loan,0,PPMT(Input_Output!$D$67,V4,term_loan,CFpower!$C$35))</f>
        <v>0</v>
      </c>
      <c r="W19" s="192">
        <f>IF(W4&gt;term_loan,0,PPMT(Input_Output!$D$67,W4,term_loan,CFpower!$C$35))</f>
        <v>0</v>
      </c>
      <c r="X19" s="192">
        <f>IF(X4&gt;term_loan,0,PPMT(Input_Output!$D$67,X4,term_loan,CFpower!$C$35))</f>
        <v>0</v>
      </c>
      <c r="Y19" s="192">
        <f>IF(Y4&gt;term_loan,0,PPMT(Input_Output!$D$67,Y4,term_loan,CFpower!$C$35))</f>
        <v>0</v>
      </c>
      <c r="Z19" s="192">
        <f>IF(Z4&gt;term_loan,0,PPMT(Input_Output!$D$67,Z4,term_loan,CFpower!$C$35))</f>
        <v>0</v>
      </c>
      <c r="AA19" s="192">
        <f>IF(AA4&gt;term_loan,0,PPMT(Input_Output!$D$67,AA4,term_loan,CFpower!$C$35))</f>
        <v>0</v>
      </c>
      <c r="AB19" s="192">
        <f>IF(AB4&gt;term_loan,0,PPMT(Input_Output!$D$67,AB4,term_loan,CFpower!$C$35))</f>
        <v>0</v>
      </c>
      <c r="AC19" s="192">
        <f>IF(AC4&gt;term_loan,0,PPMT(Input_Output!$D$67,AC4,term_loan,CFpower!$C$35))</f>
        <v>0</v>
      </c>
      <c r="AD19" s="192">
        <f>IF(AD4&gt;term_loan,0,PPMT(Input_Output!$D$67,AD4,term_loan,CFpower!$C$35))</f>
        <v>0</v>
      </c>
      <c r="AE19" s="192">
        <f>IF(AE4&gt;term_loan,0,PPMT(Input_Output!$D$67,AE4,term_loan,CFpower!$C$35))</f>
        <v>0</v>
      </c>
      <c r="AF19" s="192">
        <f>IF(AF4&gt;term_loan,0,PPMT(Input_Output!$D$67,AF4,term_loan,CFpower!$C$35))</f>
        <v>0</v>
      </c>
      <c r="AG19" s="192">
        <f>IF(AG4&gt;term_loan,0,PPMT(Input_Output!$D$67,AG4,term_loan,CFpower!$C$35))</f>
        <v>0</v>
      </c>
      <c r="AH19" s="192">
        <f>IF(AH4&gt;term_loan,0,PPMT(Input_Output!$D$67,AH4,term_loan,CFpower!$C$35))</f>
        <v>0</v>
      </c>
      <c r="AI19" s="192">
        <f>IF(AI4&gt;term_loan,0,PPMT(Input_Output!$D$67,AI4,term_loan,CFpower!$C$35))</f>
        <v>0</v>
      </c>
      <c r="AJ19" s="192">
        <f>IF(AJ4&gt;term_loan,0,PPMT(Input_Output!$D$67,AJ4,term_loan,CFpower!$C$35))</f>
        <v>0</v>
      </c>
      <c r="AK19" s="192">
        <f>IF(AK4&gt;term_loan,0,PPMT(Input_Output!$D$67,AK4,term_loan,CFpower!$C$35))</f>
        <v>0</v>
      </c>
      <c r="AL19" s="192">
        <f>IF(AL4&gt;term_loan,0,PPMT(Input_Output!$D$67,AL4,term_loan,CFpower!$C$35))</f>
        <v>0</v>
      </c>
      <c r="AM19" s="192">
        <f>IF(AM4&gt;term_loan,0,PPMT(Input_Output!$D$67,AM4,term_loan,CFpower!$C$35))</f>
        <v>0</v>
      </c>
      <c r="AN19" s="192">
        <f>IF(AN4&gt;term_loan,0,PPMT(Input_Output!$D$67,AN4,term_loan,CFpower!$C$35))</f>
        <v>0</v>
      </c>
      <c r="AO19" s="192">
        <f>IF(AO4&gt;term_loan,0,PPMT(Input_Output!$D$67,AO4,term_loan,CFpower!$C$35))</f>
        <v>0</v>
      </c>
      <c r="AP19" s="192">
        <f>IF(AP4&gt;term_loan,0,PPMT(Input_Output!$D$67,AP4,term_loan,CFpower!$C$35))</f>
        <v>0</v>
      </c>
      <c r="AQ19" s="192">
        <f>IF(AQ4&gt;term_loan,0,PPMT(Input_Output!$D$67,AQ4,term_loan,CFpower!$C$35))</f>
        <v>0</v>
      </c>
      <c r="AR19" s="192">
        <f>IF(AR4&gt;term_loan,0,PPMT(Input_Output!$D$67,AR4,term_loan,CFpower!$C$35))</f>
        <v>0</v>
      </c>
      <c r="AS19" s="193">
        <f>IF(AS4&gt;term_loan,0,PPMT(Input_Output!$D$67,AS4,term_loan,CFpower!$C$35))</f>
        <v>0</v>
      </c>
    </row>
    <row r="20" spans="1:45" s="2" customFormat="1">
      <c r="A20" s="53"/>
      <c r="B20" s="53" t="s">
        <v>197</v>
      </c>
      <c r="C20" s="53" t="s">
        <v>185</v>
      </c>
      <c r="D20" s="53"/>
      <c r="E20" s="192"/>
      <c r="F20" s="192">
        <f>SUM(F18,F19)</f>
        <v>-1705464.5100655621</v>
      </c>
      <c r="G20" s="192">
        <f t="shared" ref="G20:AS20" si="6">SUM(G18,G19)</f>
        <v>-1705464.5100655621</v>
      </c>
      <c r="H20" s="192">
        <f t="shared" si="6"/>
        <v>-1705464.5100655619</v>
      </c>
      <c r="I20" s="192">
        <f t="shared" si="6"/>
        <v>-1705464.5100655619</v>
      </c>
      <c r="J20" s="192">
        <f t="shared" si="6"/>
        <v>-1705464.5100655621</v>
      </c>
      <c r="K20" s="192">
        <f t="shared" si="6"/>
        <v>-1705464.5100655621</v>
      </c>
      <c r="L20" s="192">
        <f t="shared" si="6"/>
        <v>-1705464.5100655616</v>
      </c>
      <c r="M20" s="192">
        <f t="shared" si="6"/>
        <v>-1705464.5100655616</v>
      </c>
      <c r="N20" s="192">
        <f t="shared" si="6"/>
        <v>-1705464.5100655621</v>
      </c>
      <c r="O20" s="192">
        <f t="shared" si="6"/>
        <v>-1705464.5100655621</v>
      </c>
      <c r="P20" s="192">
        <f t="shared" si="6"/>
        <v>-1705464.5100655621</v>
      </c>
      <c r="Q20" s="192">
        <f t="shared" si="6"/>
        <v>-1705464.5100655621</v>
      </c>
      <c r="R20" s="192">
        <f t="shared" si="6"/>
        <v>-1705464.5100655619</v>
      </c>
      <c r="S20" s="192">
        <f t="shared" si="6"/>
        <v>-1705464.5100655621</v>
      </c>
      <c r="T20" s="192">
        <f t="shared" si="6"/>
        <v>-1705464.5100655621</v>
      </c>
      <c r="U20" s="192">
        <f t="shared" si="6"/>
        <v>0</v>
      </c>
      <c r="V20" s="192">
        <f t="shared" si="6"/>
        <v>0</v>
      </c>
      <c r="W20" s="192">
        <f t="shared" si="6"/>
        <v>0</v>
      </c>
      <c r="X20" s="192">
        <f t="shared" si="6"/>
        <v>0</v>
      </c>
      <c r="Y20" s="192">
        <f t="shared" si="6"/>
        <v>0</v>
      </c>
      <c r="Z20" s="192">
        <f t="shared" si="6"/>
        <v>0</v>
      </c>
      <c r="AA20" s="192">
        <f t="shared" si="6"/>
        <v>0</v>
      </c>
      <c r="AB20" s="192">
        <f t="shared" si="6"/>
        <v>0</v>
      </c>
      <c r="AC20" s="192">
        <f t="shared" si="6"/>
        <v>0</v>
      </c>
      <c r="AD20" s="192">
        <f t="shared" si="6"/>
        <v>0</v>
      </c>
      <c r="AE20" s="192">
        <f t="shared" si="6"/>
        <v>0</v>
      </c>
      <c r="AF20" s="192">
        <f t="shared" si="6"/>
        <v>0</v>
      </c>
      <c r="AG20" s="192">
        <f t="shared" si="6"/>
        <v>0</v>
      </c>
      <c r="AH20" s="192">
        <f t="shared" si="6"/>
        <v>0</v>
      </c>
      <c r="AI20" s="192">
        <f t="shared" si="6"/>
        <v>0</v>
      </c>
      <c r="AJ20" s="192">
        <f t="shared" si="6"/>
        <v>0</v>
      </c>
      <c r="AK20" s="192">
        <f t="shared" si="6"/>
        <v>0</v>
      </c>
      <c r="AL20" s="192">
        <f t="shared" si="6"/>
        <v>0</v>
      </c>
      <c r="AM20" s="192">
        <f t="shared" si="6"/>
        <v>0</v>
      </c>
      <c r="AN20" s="192">
        <f t="shared" si="6"/>
        <v>0</v>
      </c>
      <c r="AO20" s="192">
        <f t="shared" si="6"/>
        <v>0</v>
      </c>
      <c r="AP20" s="192">
        <f t="shared" si="6"/>
        <v>0</v>
      </c>
      <c r="AQ20" s="192">
        <f t="shared" si="6"/>
        <v>0</v>
      </c>
      <c r="AR20" s="192">
        <f t="shared" si="6"/>
        <v>0</v>
      </c>
      <c r="AS20" s="193">
        <f t="shared" si="6"/>
        <v>0</v>
      </c>
    </row>
    <row r="21" spans="1:45" ht="6.75" customHeight="1">
      <c r="A21" s="72"/>
      <c r="B21" s="53"/>
      <c r="C21" s="53"/>
      <c r="D21" s="53"/>
      <c r="E21" s="192"/>
      <c r="F21" s="192"/>
      <c r="G21" s="192"/>
      <c r="H21" s="192"/>
      <c r="I21" s="192"/>
      <c r="J21" s="192"/>
      <c r="K21" s="192"/>
      <c r="L21" s="192"/>
      <c r="M21" s="192"/>
      <c r="N21" s="192"/>
      <c r="O21" s="192"/>
      <c r="P21" s="192"/>
      <c r="Q21" s="192"/>
      <c r="R21" s="192"/>
      <c r="S21" s="192"/>
      <c r="T21" s="192"/>
      <c r="U21" s="192"/>
      <c r="V21" s="192"/>
      <c r="W21" s="192"/>
      <c r="X21" s="192"/>
      <c r="Y21" s="192"/>
      <c r="Z21" s="192"/>
      <c r="AA21" s="192"/>
      <c r="AB21" s="192"/>
      <c r="AC21" s="192"/>
      <c r="AD21" s="192"/>
      <c r="AE21" s="192"/>
      <c r="AF21" s="192"/>
      <c r="AG21" s="192"/>
      <c r="AH21" s="192"/>
      <c r="AI21" s="192"/>
      <c r="AJ21" s="192"/>
      <c r="AK21" s="192"/>
      <c r="AL21" s="192"/>
      <c r="AM21" s="192"/>
      <c r="AN21" s="192"/>
      <c r="AO21" s="192"/>
      <c r="AP21" s="192"/>
      <c r="AQ21" s="192"/>
      <c r="AR21" s="192"/>
      <c r="AS21" s="193"/>
    </row>
    <row r="22" spans="1:45">
      <c r="A22" s="53"/>
      <c r="B22" s="53" t="s">
        <v>198</v>
      </c>
      <c r="C22" s="53" t="s">
        <v>185</v>
      </c>
      <c r="D22" s="53"/>
      <c r="E22" s="192"/>
      <c r="F22" s="192">
        <f>F15+F17+F18</f>
        <v>381039.07810018747</v>
      </c>
      <c r="G22" s="192">
        <f t="shared" ref="G22:AS22" si="7">G15+G17+G18</f>
        <v>463176.82056960114</v>
      </c>
      <c r="H22" s="192">
        <f t="shared" si="7"/>
        <v>547982.2549577324</v>
      </c>
      <c r="I22" s="192">
        <f t="shared" si="7"/>
        <v>635567.17793244321</v>
      </c>
      <c r="J22" s="192">
        <f t="shared" si="7"/>
        <v>195366.87686357298</v>
      </c>
      <c r="K22" s="192">
        <f t="shared" si="7"/>
        <v>819549.26482886949</v>
      </c>
      <c r="L22" s="192">
        <f t="shared" si="7"/>
        <v>916197.39878174535</v>
      </c>
      <c r="M22" s="192">
        <f t="shared" si="7"/>
        <v>1016127.5174597165</v>
      </c>
      <c r="N22" s="192">
        <f t="shared" si="7"/>
        <v>1119480.4637694492</v>
      </c>
      <c r="O22" s="192">
        <f t="shared" si="7"/>
        <v>654708.78622088232</v>
      </c>
      <c r="P22" s="192">
        <f t="shared" si="7"/>
        <v>1337052.0068451592</v>
      </c>
      <c r="Q22" s="192">
        <f t="shared" si="7"/>
        <v>1451587.0900489255</v>
      </c>
      <c r="R22" s="192">
        <f t="shared" si="7"/>
        <v>1570178.6826225824</v>
      </c>
      <c r="S22" s="192">
        <f t="shared" si="7"/>
        <v>1693004.556362771</v>
      </c>
      <c r="T22" s="192">
        <f t="shared" si="7"/>
        <v>1204373.1305039057</v>
      </c>
      <c r="U22" s="192">
        <f t="shared" si="7"/>
        <v>0</v>
      </c>
      <c r="V22" s="192">
        <f t="shared" si="7"/>
        <v>0</v>
      </c>
      <c r="W22" s="192">
        <f t="shared" si="7"/>
        <v>0</v>
      </c>
      <c r="X22" s="192">
        <f t="shared" si="7"/>
        <v>0</v>
      </c>
      <c r="Y22" s="192">
        <f t="shared" si="7"/>
        <v>0</v>
      </c>
      <c r="Z22" s="192">
        <f t="shared" si="7"/>
        <v>0</v>
      </c>
      <c r="AA22" s="192">
        <f t="shared" si="7"/>
        <v>0</v>
      </c>
      <c r="AB22" s="192">
        <f t="shared" si="7"/>
        <v>0</v>
      </c>
      <c r="AC22" s="192">
        <f t="shared" si="7"/>
        <v>0</v>
      </c>
      <c r="AD22" s="192">
        <f t="shared" si="7"/>
        <v>0</v>
      </c>
      <c r="AE22" s="192">
        <f t="shared" si="7"/>
        <v>0</v>
      </c>
      <c r="AF22" s="192">
        <f t="shared" si="7"/>
        <v>0</v>
      </c>
      <c r="AG22" s="192">
        <f t="shared" si="7"/>
        <v>0</v>
      </c>
      <c r="AH22" s="192">
        <f t="shared" si="7"/>
        <v>0</v>
      </c>
      <c r="AI22" s="192">
        <f t="shared" si="7"/>
        <v>0</v>
      </c>
      <c r="AJ22" s="192">
        <f t="shared" si="7"/>
        <v>0</v>
      </c>
      <c r="AK22" s="192">
        <f t="shared" si="7"/>
        <v>0</v>
      </c>
      <c r="AL22" s="192">
        <f t="shared" si="7"/>
        <v>0</v>
      </c>
      <c r="AM22" s="192">
        <f t="shared" si="7"/>
        <v>0</v>
      </c>
      <c r="AN22" s="192">
        <f t="shared" si="7"/>
        <v>0</v>
      </c>
      <c r="AO22" s="192">
        <f t="shared" si="7"/>
        <v>0</v>
      </c>
      <c r="AP22" s="192">
        <f t="shared" si="7"/>
        <v>0</v>
      </c>
      <c r="AQ22" s="192">
        <f t="shared" si="7"/>
        <v>0</v>
      </c>
      <c r="AR22" s="192">
        <f t="shared" si="7"/>
        <v>0</v>
      </c>
      <c r="AS22" s="193">
        <f t="shared" si="7"/>
        <v>0</v>
      </c>
    </row>
    <row r="23" spans="1:45">
      <c r="A23" s="53"/>
      <c r="B23" s="53" t="s">
        <v>199</v>
      </c>
      <c r="C23" s="129" t="s">
        <v>185</v>
      </c>
      <c r="D23" s="53"/>
      <c r="E23" s="192"/>
      <c r="F23" s="192">
        <f>-tax*F22</f>
        <v>-95259.769525046868</v>
      </c>
      <c r="G23" s="192">
        <f t="shared" ref="G23:AS23" si="8">-tax*G22</f>
        <v>-115794.20514240029</v>
      </c>
      <c r="H23" s="192">
        <f t="shared" si="8"/>
        <v>-136995.5637394331</v>
      </c>
      <c r="I23" s="192">
        <f t="shared" si="8"/>
        <v>-158891.7944831108</v>
      </c>
      <c r="J23" s="192">
        <f t="shared" si="8"/>
        <v>-48841.719215893245</v>
      </c>
      <c r="K23" s="192">
        <f t="shared" si="8"/>
        <v>-204887.31620721737</v>
      </c>
      <c r="L23" s="192">
        <f t="shared" si="8"/>
        <v>-229049.34969543634</v>
      </c>
      <c r="M23" s="192">
        <f t="shared" si="8"/>
        <v>-254031.87936492913</v>
      </c>
      <c r="N23" s="192">
        <f t="shared" si="8"/>
        <v>-279870.11594236229</v>
      </c>
      <c r="O23" s="192">
        <f t="shared" si="8"/>
        <v>-163677.19655522058</v>
      </c>
      <c r="P23" s="192">
        <f t="shared" si="8"/>
        <v>-334263.00171128981</v>
      </c>
      <c r="Q23" s="192">
        <f t="shared" si="8"/>
        <v>-362896.77251223137</v>
      </c>
      <c r="R23" s="192">
        <f t="shared" si="8"/>
        <v>-392544.6706556456</v>
      </c>
      <c r="S23" s="192">
        <f t="shared" si="8"/>
        <v>-423251.13909069274</v>
      </c>
      <c r="T23" s="192">
        <f t="shared" si="8"/>
        <v>-301093.28262597643</v>
      </c>
      <c r="U23" s="192">
        <f t="shared" si="8"/>
        <v>0</v>
      </c>
      <c r="V23" s="192">
        <f t="shared" si="8"/>
        <v>0</v>
      </c>
      <c r="W23" s="192">
        <f t="shared" si="8"/>
        <v>0</v>
      </c>
      <c r="X23" s="192">
        <f t="shared" si="8"/>
        <v>0</v>
      </c>
      <c r="Y23" s="192">
        <f t="shared" si="8"/>
        <v>0</v>
      </c>
      <c r="Z23" s="192">
        <f t="shared" si="8"/>
        <v>0</v>
      </c>
      <c r="AA23" s="192">
        <f t="shared" si="8"/>
        <v>0</v>
      </c>
      <c r="AB23" s="192">
        <f t="shared" si="8"/>
        <v>0</v>
      </c>
      <c r="AC23" s="192">
        <f t="shared" si="8"/>
        <v>0</v>
      </c>
      <c r="AD23" s="192">
        <f t="shared" si="8"/>
        <v>0</v>
      </c>
      <c r="AE23" s="192">
        <f t="shared" si="8"/>
        <v>0</v>
      </c>
      <c r="AF23" s="192">
        <f t="shared" si="8"/>
        <v>0</v>
      </c>
      <c r="AG23" s="192">
        <f t="shared" si="8"/>
        <v>0</v>
      </c>
      <c r="AH23" s="192">
        <f t="shared" si="8"/>
        <v>0</v>
      </c>
      <c r="AI23" s="192">
        <f t="shared" si="8"/>
        <v>0</v>
      </c>
      <c r="AJ23" s="192">
        <f t="shared" si="8"/>
        <v>0</v>
      </c>
      <c r="AK23" s="192">
        <f t="shared" si="8"/>
        <v>0</v>
      </c>
      <c r="AL23" s="192">
        <f t="shared" si="8"/>
        <v>0</v>
      </c>
      <c r="AM23" s="192">
        <f t="shared" si="8"/>
        <v>0</v>
      </c>
      <c r="AN23" s="192">
        <f t="shared" si="8"/>
        <v>0</v>
      </c>
      <c r="AO23" s="192">
        <f t="shared" si="8"/>
        <v>0</v>
      </c>
      <c r="AP23" s="192">
        <f t="shared" si="8"/>
        <v>0</v>
      </c>
      <c r="AQ23" s="192">
        <f t="shared" si="8"/>
        <v>0</v>
      </c>
      <c r="AR23" s="192">
        <f t="shared" si="8"/>
        <v>0</v>
      </c>
      <c r="AS23" s="193">
        <f t="shared" si="8"/>
        <v>0</v>
      </c>
    </row>
    <row r="24" spans="1:45">
      <c r="A24" s="72"/>
      <c r="B24" s="53"/>
      <c r="C24" s="53"/>
      <c r="D24" s="53"/>
      <c r="E24" s="192"/>
      <c r="F24" s="192"/>
      <c r="G24" s="192"/>
      <c r="H24" s="192"/>
      <c r="I24" s="192"/>
      <c r="J24" s="192"/>
      <c r="K24" s="192"/>
      <c r="L24" s="192"/>
      <c r="M24" s="192"/>
      <c r="N24" s="192"/>
      <c r="O24" s="192"/>
      <c r="P24" s="192"/>
      <c r="Q24" s="192"/>
      <c r="R24" s="192"/>
      <c r="S24" s="192"/>
      <c r="T24" s="192"/>
      <c r="U24" s="192"/>
      <c r="V24" s="192"/>
      <c r="W24" s="192"/>
      <c r="X24" s="192"/>
      <c r="Y24" s="192"/>
      <c r="Z24" s="192"/>
      <c r="AA24" s="192"/>
      <c r="AB24" s="192"/>
      <c r="AC24" s="192"/>
      <c r="AD24" s="192"/>
      <c r="AE24" s="192"/>
      <c r="AF24" s="192"/>
      <c r="AG24" s="192"/>
      <c r="AH24" s="192"/>
      <c r="AI24" s="192"/>
      <c r="AJ24" s="192"/>
      <c r="AK24" s="192"/>
      <c r="AL24" s="192"/>
      <c r="AM24" s="192"/>
      <c r="AN24" s="192"/>
      <c r="AO24" s="192"/>
      <c r="AP24" s="192"/>
      <c r="AQ24" s="192"/>
      <c r="AR24" s="192"/>
      <c r="AS24" s="193"/>
    </row>
    <row r="25" spans="1:45">
      <c r="A25" s="15"/>
      <c r="B25" s="15" t="s">
        <v>200</v>
      </c>
      <c r="C25" s="15" t="s">
        <v>185</v>
      </c>
      <c r="D25" s="15"/>
      <c r="E25" s="17"/>
      <c r="F25" s="17">
        <f>F15+F20+F23</f>
        <v>940599.91994074406</v>
      </c>
      <c r="G25" s="17">
        <f t="shared" ref="G25:AS25" si="9">G15+G20+G23</f>
        <v>961185.34731636057</v>
      </c>
      <c r="H25" s="17">
        <f t="shared" si="9"/>
        <v>981720.64965719322</v>
      </c>
      <c r="I25" s="17">
        <f t="shared" si="9"/>
        <v>1002187.129765447</v>
      </c>
      <c r="J25" s="17">
        <f t="shared" si="9"/>
        <v>624553.58123487607</v>
      </c>
      <c r="K25" s="17">
        <f t="shared" si="9"/>
        <v>1042832.8833434844</v>
      </c>
      <c r="L25" s="17">
        <f t="shared" si="9"/>
        <v>1062968.6204995092</v>
      </c>
      <c r="M25" s="17">
        <f t="shared" si="9"/>
        <v>1082948.3280339236</v>
      </c>
      <c r="N25" s="17">
        <f t="shared" si="9"/>
        <v>1102746.7622184558</v>
      </c>
      <c r="O25" s="17">
        <f t="shared" si="9"/>
        <v>693565.91473187506</v>
      </c>
      <c r="P25" s="17">
        <f t="shared" si="9"/>
        <v>1141691.1364086694</v>
      </c>
      <c r="Q25" s="17">
        <f t="shared" si="9"/>
        <v>1160778.6453305101</v>
      </c>
      <c r="R25" s="17">
        <f t="shared" si="9"/>
        <v>1179567.8461057199</v>
      </c>
      <c r="S25" s="17">
        <f t="shared" si="9"/>
        <v>1198025.0330730765</v>
      </c>
      <c r="T25" s="17">
        <f t="shared" si="9"/>
        <v>754206.13442425337</v>
      </c>
      <c r="U25" s="17">
        <f t="shared" si="9"/>
        <v>0</v>
      </c>
      <c r="V25" s="17">
        <f t="shared" si="9"/>
        <v>0</v>
      </c>
      <c r="W25" s="17">
        <f t="shared" si="9"/>
        <v>0</v>
      </c>
      <c r="X25" s="17">
        <f t="shared" si="9"/>
        <v>0</v>
      </c>
      <c r="Y25" s="17">
        <f t="shared" si="9"/>
        <v>0</v>
      </c>
      <c r="Z25" s="17">
        <f t="shared" si="9"/>
        <v>0</v>
      </c>
      <c r="AA25" s="17">
        <f t="shared" si="9"/>
        <v>0</v>
      </c>
      <c r="AB25" s="17">
        <f t="shared" si="9"/>
        <v>0</v>
      </c>
      <c r="AC25" s="17">
        <f t="shared" si="9"/>
        <v>0</v>
      </c>
      <c r="AD25" s="17">
        <f t="shared" si="9"/>
        <v>0</v>
      </c>
      <c r="AE25" s="17">
        <f t="shared" si="9"/>
        <v>0</v>
      </c>
      <c r="AF25" s="17">
        <f t="shared" si="9"/>
        <v>0</v>
      </c>
      <c r="AG25" s="17">
        <f t="shared" si="9"/>
        <v>0</v>
      </c>
      <c r="AH25" s="17">
        <f t="shared" si="9"/>
        <v>0</v>
      </c>
      <c r="AI25" s="17">
        <f t="shared" si="9"/>
        <v>0</v>
      </c>
      <c r="AJ25" s="17">
        <f t="shared" si="9"/>
        <v>0</v>
      </c>
      <c r="AK25" s="17">
        <f t="shared" si="9"/>
        <v>0</v>
      </c>
      <c r="AL25" s="17">
        <f t="shared" si="9"/>
        <v>0</v>
      </c>
      <c r="AM25" s="17">
        <f t="shared" si="9"/>
        <v>0</v>
      </c>
      <c r="AN25" s="17">
        <f t="shared" si="9"/>
        <v>0</v>
      </c>
      <c r="AO25" s="17">
        <f t="shared" si="9"/>
        <v>0</v>
      </c>
      <c r="AP25" s="17">
        <f t="shared" si="9"/>
        <v>0</v>
      </c>
      <c r="AQ25" s="17">
        <f t="shared" si="9"/>
        <v>0</v>
      </c>
      <c r="AR25" s="17">
        <f t="shared" si="9"/>
        <v>0</v>
      </c>
      <c r="AS25" s="18">
        <f t="shared" si="9"/>
        <v>0</v>
      </c>
    </row>
    <row r="26" spans="1:45" ht="6.75" customHeight="1">
      <c r="A26" s="6"/>
      <c r="B26" s="7"/>
      <c r="C26" s="7"/>
      <c r="D26" s="200"/>
      <c r="E26" s="2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48"/>
    </row>
    <row r="27" spans="1:45">
      <c r="A27" s="12"/>
      <c r="B27" s="53" t="s">
        <v>201</v>
      </c>
      <c r="C27" s="53" t="s">
        <v>185</v>
      </c>
      <c r="D27" s="201">
        <f>NPV(Input_Output!$D$68,F25:AS25)</f>
        <v>5823342.2364777196</v>
      </c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192"/>
      <c r="V27" s="192"/>
      <c r="W27" s="192"/>
      <c r="X27" s="192"/>
      <c r="Y27" s="192"/>
      <c r="Z27" s="192"/>
      <c r="AA27" s="192"/>
      <c r="AB27" s="19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  <c r="AM27" s="192"/>
      <c r="AN27" s="192"/>
      <c r="AO27" s="192"/>
      <c r="AP27" s="192"/>
      <c r="AQ27" s="192"/>
      <c r="AR27" s="192"/>
      <c r="AS27" s="193"/>
    </row>
    <row r="28" spans="1:45">
      <c r="A28" s="70"/>
      <c r="B28" s="71" t="s">
        <v>202</v>
      </c>
      <c r="C28" s="71" t="s">
        <v>187</v>
      </c>
      <c r="D28" s="202">
        <f>NPV(Input_Output!$D$68,F28:AS28)</f>
        <v>0</v>
      </c>
      <c r="E28" s="203"/>
      <c r="F28" s="203">
        <f t="shared" ref="F28:AS28" si="10">(1-tax)*F8</f>
        <v>0</v>
      </c>
      <c r="G28" s="203">
        <f t="shared" si="10"/>
        <v>0</v>
      </c>
      <c r="H28" s="203">
        <f t="shared" si="10"/>
        <v>0</v>
      </c>
      <c r="I28" s="203">
        <f t="shared" si="10"/>
        <v>0</v>
      </c>
      <c r="J28" s="203">
        <f t="shared" si="10"/>
        <v>0</v>
      </c>
      <c r="K28" s="203">
        <f t="shared" si="10"/>
        <v>0</v>
      </c>
      <c r="L28" s="203">
        <f t="shared" si="10"/>
        <v>0</v>
      </c>
      <c r="M28" s="203">
        <f t="shared" si="10"/>
        <v>0</v>
      </c>
      <c r="N28" s="203">
        <f t="shared" si="10"/>
        <v>0</v>
      </c>
      <c r="O28" s="203">
        <f t="shared" si="10"/>
        <v>0</v>
      </c>
      <c r="P28" s="203">
        <f t="shared" si="10"/>
        <v>0</v>
      </c>
      <c r="Q28" s="203">
        <f t="shared" si="10"/>
        <v>0</v>
      </c>
      <c r="R28" s="203">
        <f t="shared" si="10"/>
        <v>0</v>
      </c>
      <c r="S28" s="203">
        <f t="shared" si="10"/>
        <v>0</v>
      </c>
      <c r="T28" s="203">
        <f t="shared" si="10"/>
        <v>0</v>
      </c>
      <c r="U28" s="203">
        <f t="shared" si="10"/>
        <v>0</v>
      </c>
      <c r="V28" s="203">
        <f t="shared" si="10"/>
        <v>0</v>
      </c>
      <c r="W28" s="203">
        <f t="shared" si="10"/>
        <v>0</v>
      </c>
      <c r="X28" s="203">
        <f t="shared" si="10"/>
        <v>0</v>
      </c>
      <c r="Y28" s="203">
        <f t="shared" si="10"/>
        <v>0</v>
      </c>
      <c r="Z28" s="203">
        <f t="shared" si="10"/>
        <v>0</v>
      </c>
      <c r="AA28" s="203">
        <f t="shared" si="10"/>
        <v>0</v>
      </c>
      <c r="AB28" s="203">
        <f t="shared" si="10"/>
        <v>0</v>
      </c>
      <c r="AC28" s="203">
        <f t="shared" si="10"/>
        <v>0</v>
      </c>
      <c r="AD28" s="203">
        <f t="shared" si="10"/>
        <v>0</v>
      </c>
      <c r="AE28" s="203">
        <f t="shared" si="10"/>
        <v>0</v>
      </c>
      <c r="AF28" s="203">
        <f t="shared" si="10"/>
        <v>0</v>
      </c>
      <c r="AG28" s="203">
        <f t="shared" si="10"/>
        <v>0</v>
      </c>
      <c r="AH28" s="203">
        <f t="shared" si="10"/>
        <v>0</v>
      </c>
      <c r="AI28" s="203">
        <f t="shared" si="10"/>
        <v>0</v>
      </c>
      <c r="AJ28" s="203">
        <f t="shared" si="10"/>
        <v>0</v>
      </c>
      <c r="AK28" s="203">
        <f t="shared" si="10"/>
        <v>0</v>
      </c>
      <c r="AL28" s="203">
        <f t="shared" si="10"/>
        <v>0</v>
      </c>
      <c r="AM28" s="203">
        <f t="shared" si="10"/>
        <v>0</v>
      </c>
      <c r="AN28" s="203">
        <f t="shared" si="10"/>
        <v>0</v>
      </c>
      <c r="AO28" s="203">
        <f t="shared" si="10"/>
        <v>0</v>
      </c>
      <c r="AP28" s="203">
        <f t="shared" si="10"/>
        <v>0</v>
      </c>
      <c r="AQ28" s="203">
        <f t="shared" si="10"/>
        <v>0</v>
      </c>
      <c r="AR28" s="203">
        <f t="shared" si="10"/>
        <v>0</v>
      </c>
      <c r="AS28" s="203">
        <f t="shared" si="10"/>
        <v>0</v>
      </c>
    </row>
    <row r="30" spans="1:45">
      <c r="A30" s="58"/>
      <c r="B30" s="64" t="s">
        <v>203</v>
      </c>
      <c r="C30" s="204">
        <f>(1+contigency)*(capex_subsurface*1000000+capex_power*1000+heat_capex*1000)</f>
        <v>22127673.013417177</v>
      </c>
      <c r="D30" s="130" t="s">
        <v>185</v>
      </c>
      <c r="E30" s="205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177"/>
      <c r="AK30" s="177"/>
      <c r="AL30" s="177"/>
      <c r="AM30" s="177"/>
      <c r="AN30" s="177"/>
      <c r="AO30" s="177"/>
      <c r="AP30" s="177"/>
      <c r="AQ30" s="177"/>
      <c r="AR30" s="177"/>
      <c r="AS30" s="177"/>
    </row>
    <row r="31" spans="1:45">
      <c r="A31" s="58"/>
      <c r="B31" s="72" t="s">
        <v>204</v>
      </c>
      <c r="C31" s="206">
        <f>(1-tax)*loan_rate*debt_share+equity_share*equity_return</f>
        <v>5.9000000000000004E-2</v>
      </c>
      <c r="D31" s="54"/>
      <c r="E31" s="58"/>
      <c r="F31" s="58"/>
      <c r="G31" s="207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</row>
    <row r="32" spans="1:45">
      <c r="A32" s="58"/>
      <c r="B32" s="80" t="s">
        <v>205</v>
      </c>
      <c r="C32" s="208">
        <f>C30</f>
        <v>22127673.013417177</v>
      </c>
      <c r="D32" s="131" t="s">
        <v>185</v>
      </c>
      <c r="E32" s="209"/>
      <c r="F32" s="58"/>
      <c r="G32" s="207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</row>
    <row r="33" spans="2:8">
      <c r="B33" s="80" t="s">
        <v>206</v>
      </c>
      <c r="C33" s="208">
        <v>0</v>
      </c>
      <c r="D33" s="131" t="s">
        <v>185</v>
      </c>
      <c r="E33"/>
      <c r="F33" s="56"/>
      <c r="G33"/>
      <c r="H33"/>
    </row>
    <row r="34" spans="2:8">
      <c r="B34" s="80" t="s">
        <v>207</v>
      </c>
      <c r="C34" s="208">
        <f>(C33*tax)/(1+CFpower!C31)</f>
        <v>0</v>
      </c>
      <c r="D34" s="131" t="s">
        <v>185</v>
      </c>
      <c r="E34"/>
      <c r="F34" s="57"/>
      <c r="G34" s="5"/>
      <c r="H34" s="4"/>
    </row>
    <row r="35" spans="2:8">
      <c r="B35" s="73" t="s">
        <v>208</v>
      </c>
      <c r="C35" s="192">
        <f>C30*debt_share-C34</f>
        <v>17702138.410733741</v>
      </c>
      <c r="D35" s="54" t="s">
        <v>185</v>
      </c>
      <c r="E35" s="58"/>
      <c r="F35" s="58"/>
      <c r="G35" s="58"/>
      <c r="H35" s="58"/>
    </row>
    <row r="36" spans="2:8">
      <c r="B36" s="74" t="s">
        <v>209</v>
      </c>
      <c r="C36" s="197">
        <f>equity_share*C30</f>
        <v>4425534.6026834352</v>
      </c>
      <c r="D36" s="70" t="s">
        <v>185</v>
      </c>
      <c r="E36" s="58"/>
      <c r="F36" s="58"/>
      <c r="G36" s="58"/>
      <c r="H36" s="58"/>
    </row>
    <row r="37" spans="2:8">
      <c r="B37" s="58"/>
      <c r="C37" s="58"/>
      <c r="D37" s="58"/>
      <c r="E37" s="58"/>
      <c r="F37" s="58"/>
      <c r="G37" s="58"/>
      <c r="H37" s="58"/>
    </row>
    <row r="38" spans="2:8">
      <c r="B38" s="58"/>
      <c r="C38" s="210"/>
      <c r="D38" s="58"/>
      <c r="E38" s="58"/>
      <c r="F38" s="58"/>
      <c r="G38" s="58"/>
      <c r="H38" s="58"/>
    </row>
    <row r="39" spans="2:8">
      <c r="B39" s="58"/>
      <c r="C39" s="58"/>
      <c r="D39" s="58"/>
      <c r="E39" s="58"/>
      <c r="F39" s="58"/>
      <c r="G39" s="211"/>
      <c r="H39" s="58"/>
    </row>
    <row r="40" spans="2:8">
      <c r="B40" s="58"/>
      <c r="C40" s="58"/>
      <c r="D40" s="58"/>
      <c r="E40" s="58"/>
      <c r="F40" s="58"/>
      <c r="G40" s="58"/>
      <c r="H40" s="58"/>
    </row>
    <row r="41" spans="2:8">
      <c r="B41" s="58"/>
      <c r="C41" s="58"/>
      <c r="D41" s="58"/>
      <c r="E41" s="58"/>
      <c r="F41" s="58"/>
      <c r="G41" s="211"/>
      <c r="H41" s="58"/>
    </row>
    <row r="42" spans="2:8">
      <c r="B42" s="58"/>
      <c r="C42" s="58"/>
      <c r="D42" s="58"/>
      <c r="E42" s="58"/>
      <c r="F42" s="58"/>
      <c r="G42" s="58"/>
      <c r="H42" s="58"/>
    </row>
    <row r="43" spans="2:8">
      <c r="B43" s="58"/>
      <c r="C43" s="58"/>
      <c r="D43" s="58"/>
      <c r="E43" s="58"/>
      <c r="F43" s="58"/>
      <c r="G43" s="58"/>
      <c r="H43" s="58"/>
    </row>
    <row r="44" spans="2:8">
      <c r="B44" s="58"/>
      <c r="C44" s="58"/>
      <c r="D44" s="58"/>
      <c r="E44" s="58"/>
      <c r="F44" s="58"/>
      <c r="G44" s="58"/>
      <c r="H44" s="58"/>
    </row>
    <row r="45" spans="2:8">
      <c r="B45" s="58"/>
      <c r="C45" s="58"/>
      <c r="D45" s="58"/>
      <c r="E45" s="58"/>
      <c r="F45" s="58"/>
      <c r="G45" s="58"/>
      <c r="H45" s="58"/>
    </row>
    <row r="46" spans="2:8">
      <c r="B46" s="58"/>
      <c r="C46" s="58"/>
      <c r="D46" s="58"/>
      <c r="E46" s="58"/>
      <c r="F46" s="58"/>
      <c r="G46" s="58"/>
      <c r="H46" s="58"/>
    </row>
    <row r="47" spans="2:8">
      <c r="B47" s="58"/>
      <c r="C47" s="58"/>
      <c r="D47" s="58"/>
      <c r="E47" s="58"/>
      <c r="F47" s="58"/>
      <c r="G47" s="58"/>
      <c r="H47" s="58"/>
    </row>
    <row r="48" spans="2:8">
      <c r="B48" s="58"/>
      <c r="C48" s="58"/>
      <c r="D48" s="58"/>
      <c r="E48" s="58"/>
      <c r="F48" s="58"/>
      <c r="G48" s="58"/>
      <c r="H48" s="58"/>
    </row>
    <row r="49" spans="5:5">
      <c r="E49" s="58"/>
    </row>
  </sheetData>
  <phoneticPr fontId="0" type="noConversion"/>
  <pageMargins left="0.38" right="0.27" top="1" bottom="1" header="0.5" footer="0.5"/>
  <pageSetup paperSize="9" orientation="landscape" r:id="rId1"/>
  <headerFooter alignWithMargins="0">
    <oddFooter>&amp;L&amp;D&amp;RVersie 2003.1</oddFooter>
  </headerFooter>
  <colBreaks count="1" manualBreakCount="1">
    <brk id="15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S49"/>
  <sheetViews>
    <sheetView workbookViewId="0">
      <selection activeCell="F25" sqref="F25"/>
    </sheetView>
  </sheetViews>
  <sheetFormatPr defaultRowHeight="12.75"/>
  <cols>
    <col min="1" max="1" width="3.42578125" style="1" customWidth="1"/>
    <col min="2" max="2" width="40.42578125" style="1" customWidth="1"/>
    <col min="3" max="3" width="29.28515625" style="1" customWidth="1"/>
    <col min="4" max="4" width="19" style="1" bestFit="1" customWidth="1"/>
    <col min="5" max="5" width="12.7109375" style="1" customWidth="1"/>
    <col min="6" max="12" width="15.140625" style="1" bestFit="1" customWidth="1"/>
    <col min="13" max="45" width="12.7109375" style="1" customWidth="1"/>
    <col min="46" max="256" width="11.42578125" style="1" customWidth="1"/>
    <col min="257" max="16384" width="9.140625" style="1"/>
  </cols>
  <sheetData>
    <row r="1" spans="1:45" s="29" customFormat="1" ht="18">
      <c r="A1" s="29" t="str">
        <f>Colofon!C2</f>
        <v xml:space="preserve">Calculation of LCOE of geothermal power/direct heat/chilling </v>
      </c>
    </row>
    <row r="2" spans="1:45" s="30" customFormat="1" ht="24.75" customHeight="1">
      <c r="A2" s="30" t="s">
        <v>210</v>
      </c>
    </row>
    <row r="3" spans="1:45">
      <c r="A3" s="58"/>
      <c r="B3" s="58"/>
      <c r="C3" s="58"/>
      <c r="D3" s="58"/>
      <c r="E3" s="58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</row>
    <row r="4" spans="1:45">
      <c r="A4" s="190"/>
      <c r="B4" s="19" t="s">
        <v>211</v>
      </c>
      <c r="C4" s="20" t="s">
        <v>171</v>
      </c>
      <c r="D4" s="20"/>
      <c r="E4" s="13">
        <v>0</v>
      </c>
      <c r="F4" s="13">
        <v>1</v>
      </c>
      <c r="G4" s="13">
        <v>2</v>
      </c>
      <c r="H4" s="13">
        <v>3</v>
      </c>
      <c r="I4" s="13">
        <v>4</v>
      </c>
      <c r="J4" s="13">
        <v>5</v>
      </c>
      <c r="K4" s="13">
        <v>6</v>
      </c>
      <c r="L4" s="13">
        <v>7</v>
      </c>
      <c r="M4" s="13">
        <v>8</v>
      </c>
      <c r="N4" s="13">
        <v>9</v>
      </c>
      <c r="O4" s="13">
        <v>10</v>
      </c>
      <c r="P4" s="13">
        <v>11</v>
      </c>
      <c r="Q4" s="13">
        <v>12</v>
      </c>
      <c r="R4" s="13">
        <v>13</v>
      </c>
      <c r="S4" s="13">
        <v>14</v>
      </c>
      <c r="T4" s="13">
        <v>15</v>
      </c>
      <c r="U4" s="13">
        <v>16</v>
      </c>
      <c r="V4" s="13">
        <v>17</v>
      </c>
      <c r="W4" s="13">
        <v>18</v>
      </c>
      <c r="X4" s="13">
        <v>19</v>
      </c>
      <c r="Y4" s="13">
        <v>20</v>
      </c>
      <c r="Z4" s="13">
        <v>21</v>
      </c>
      <c r="AA4" s="13">
        <v>22</v>
      </c>
      <c r="AB4" s="13">
        <v>23</v>
      </c>
      <c r="AC4" s="13">
        <v>24</v>
      </c>
      <c r="AD4" s="13">
        <v>25</v>
      </c>
      <c r="AE4" s="13">
        <v>26</v>
      </c>
      <c r="AF4" s="13">
        <v>27</v>
      </c>
      <c r="AG4" s="13">
        <v>28</v>
      </c>
      <c r="AH4" s="13">
        <v>29</v>
      </c>
      <c r="AI4" s="13">
        <v>30</v>
      </c>
      <c r="AJ4" s="13">
        <v>31</v>
      </c>
      <c r="AK4" s="13">
        <v>32</v>
      </c>
      <c r="AL4" s="13">
        <v>33</v>
      </c>
      <c r="AM4" s="13">
        <v>34</v>
      </c>
      <c r="AN4" s="13">
        <v>35</v>
      </c>
      <c r="AO4" s="13">
        <v>36</v>
      </c>
      <c r="AP4" s="13">
        <v>37</v>
      </c>
      <c r="AQ4" s="13">
        <v>38</v>
      </c>
      <c r="AR4" s="13">
        <v>39</v>
      </c>
      <c r="AS4" s="14">
        <v>40</v>
      </c>
    </row>
    <row r="5" spans="1:45">
      <c r="A5" s="69"/>
      <c r="B5" s="69" t="s">
        <v>184</v>
      </c>
      <c r="C5" s="54" t="s">
        <v>212</v>
      </c>
      <c r="D5" s="11"/>
      <c r="E5" s="191">
        <f>-C30</f>
        <v>-22127673.013417177</v>
      </c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  <c r="AI5" s="90"/>
      <c r="AJ5" s="90"/>
      <c r="AK5" s="90"/>
      <c r="AL5" s="90"/>
      <c r="AM5" s="90"/>
      <c r="AN5" s="90"/>
      <c r="AO5" s="90"/>
      <c r="AP5" s="90"/>
      <c r="AQ5" s="90"/>
      <c r="AR5" s="90"/>
      <c r="AS5" s="91"/>
    </row>
    <row r="6" spans="1:45">
      <c r="A6" s="53"/>
      <c r="B6" s="54"/>
      <c r="C6" s="21"/>
      <c r="D6" s="21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/>
      <c r="AI6" s="90"/>
      <c r="AJ6" s="90"/>
      <c r="AK6" s="90"/>
      <c r="AL6" s="90"/>
      <c r="AM6" s="90"/>
      <c r="AN6" s="90"/>
      <c r="AO6" s="90"/>
      <c r="AP6" s="90"/>
      <c r="AQ6" s="90"/>
      <c r="AR6" s="90"/>
      <c r="AS6" s="91"/>
    </row>
    <row r="7" spans="1:45">
      <c r="A7" s="53"/>
      <c r="B7" s="53"/>
      <c r="C7" s="54"/>
      <c r="D7" s="53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92"/>
      <c r="AQ7" s="192"/>
      <c r="AR7" s="192"/>
      <c r="AS7" s="193"/>
    </row>
    <row r="8" spans="1:45">
      <c r="A8" s="53"/>
      <c r="B8" s="53" t="s">
        <v>233</v>
      </c>
      <c r="C8" s="54" t="s">
        <v>187</v>
      </c>
      <c r="D8" s="53"/>
      <c r="E8" s="192"/>
      <c r="F8" s="192">
        <f t="shared" ref="F8:AS8" si="0">IF(F4&gt;lifetime,0,heat_mwth*coheatloadhours*1000)</f>
        <v>102884267.8855162</v>
      </c>
      <c r="G8" s="192">
        <f t="shared" si="0"/>
        <v>102884267.8855162</v>
      </c>
      <c r="H8" s="192">
        <f t="shared" si="0"/>
        <v>102884267.8855162</v>
      </c>
      <c r="I8" s="192">
        <f t="shared" si="0"/>
        <v>102884267.8855162</v>
      </c>
      <c r="J8" s="192">
        <f t="shared" si="0"/>
        <v>102884267.8855162</v>
      </c>
      <c r="K8" s="192">
        <f t="shared" si="0"/>
        <v>102884267.8855162</v>
      </c>
      <c r="L8" s="192">
        <f t="shared" si="0"/>
        <v>102884267.8855162</v>
      </c>
      <c r="M8" s="192">
        <f t="shared" si="0"/>
        <v>102884267.8855162</v>
      </c>
      <c r="N8" s="192">
        <f t="shared" si="0"/>
        <v>102884267.8855162</v>
      </c>
      <c r="O8" s="192">
        <f t="shared" si="0"/>
        <v>102884267.8855162</v>
      </c>
      <c r="P8" s="192">
        <f t="shared" si="0"/>
        <v>102884267.8855162</v>
      </c>
      <c r="Q8" s="192">
        <f t="shared" si="0"/>
        <v>102884267.8855162</v>
      </c>
      <c r="R8" s="192">
        <f t="shared" si="0"/>
        <v>102884267.8855162</v>
      </c>
      <c r="S8" s="192">
        <f t="shared" si="0"/>
        <v>102884267.8855162</v>
      </c>
      <c r="T8" s="192">
        <f t="shared" si="0"/>
        <v>102884267.8855162</v>
      </c>
      <c r="U8" s="192">
        <f t="shared" si="0"/>
        <v>0</v>
      </c>
      <c r="V8" s="192">
        <f t="shared" si="0"/>
        <v>0</v>
      </c>
      <c r="W8" s="192">
        <f t="shared" si="0"/>
        <v>0</v>
      </c>
      <c r="X8" s="192">
        <f t="shared" si="0"/>
        <v>0</v>
      </c>
      <c r="Y8" s="192">
        <f t="shared" si="0"/>
        <v>0</v>
      </c>
      <c r="Z8" s="192">
        <f t="shared" si="0"/>
        <v>0</v>
      </c>
      <c r="AA8" s="192">
        <f t="shared" si="0"/>
        <v>0</v>
      </c>
      <c r="AB8" s="192">
        <f t="shared" si="0"/>
        <v>0</v>
      </c>
      <c r="AC8" s="192">
        <f t="shared" si="0"/>
        <v>0</v>
      </c>
      <c r="AD8" s="192">
        <f t="shared" si="0"/>
        <v>0</v>
      </c>
      <c r="AE8" s="192">
        <f t="shared" si="0"/>
        <v>0</v>
      </c>
      <c r="AF8" s="192">
        <f t="shared" si="0"/>
        <v>0</v>
      </c>
      <c r="AG8" s="192">
        <f t="shared" si="0"/>
        <v>0</v>
      </c>
      <c r="AH8" s="192">
        <f t="shared" si="0"/>
        <v>0</v>
      </c>
      <c r="AI8" s="192">
        <f t="shared" si="0"/>
        <v>0</v>
      </c>
      <c r="AJ8" s="192">
        <f t="shared" si="0"/>
        <v>0</v>
      </c>
      <c r="AK8" s="192">
        <f t="shared" si="0"/>
        <v>0</v>
      </c>
      <c r="AL8" s="192">
        <f t="shared" si="0"/>
        <v>0</v>
      </c>
      <c r="AM8" s="192">
        <f t="shared" si="0"/>
        <v>0</v>
      </c>
      <c r="AN8" s="192">
        <f t="shared" si="0"/>
        <v>0</v>
      </c>
      <c r="AO8" s="192">
        <f t="shared" si="0"/>
        <v>0</v>
      </c>
      <c r="AP8" s="192">
        <f t="shared" si="0"/>
        <v>0</v>
      </c>
      <c r="AQ8" s="192">
        <f t="shared" si="0"/>
        <v>0</v>
      </c>
      <c r="AR8" s="192">
        <f t="shared" si="0"/>
        <v>0</v>
      </c>
      <c r="AS8" s="192">
        <f t="shared" si="0"/>
        <v>0</v>
      </c>
    </row>
    <row r="9" spans="1:45" s="59" customFormat="1">
      <c r="A9" s="194"/>
      <c r="B9" s="88" t="s">
        <v>188</v>
      </c>
      <c r="C9" s="89" t="s">
        <v>185</v>
      </c>
      <c r="D9" s="88"/>
      <c r="E9" s="195"/>
      <c r="F9" s="196">
        <f>IF(F4&gt;lifetime,0,-(power_OMfixed*1000+Power*power_loadhours*power_OMvar*0.01+heat_mwth*1000*coheatloadhours*heat_OMvar*0.01+heat_OMfixed*1000))</f>
        <v>-2505773.462629973</v>
      </c>
      <c r="G9" s="196">
        <f t="shared" ref="G9:AS9" si="1">IF(G4&gt;lifetime,0,-(power_OMfixed*1000+Power*power_loadhours*power_OMvar*0.01+heat_mwth*1000*coheatloadhours*heat_OMvar*0.01+heat_OMfixed*1000))</f>
        <v>-2505773.462629973</v>
      </c>
      <c r="H9" s="196">
        <f t="shared" si="1"/>
        <v>-2505773.462629973</v>
      </c>
      <c r="I9" s="196">
        <f t="shared" si="1"/>
        <v>-2505773.462629973</v>
      </c>
      <c r="J9" s="196">
        <f t="shared" si="1"/>
        <v>-2505773.462629973</v>
      </c>
      <c r="K9" s="196">
        <f t="shared" si="1"/>
        <v>-2505773.462629973</v>
      </c>
      <c r="L9" s="196">
        <f t="shared" si="1"/>
        <v>-2505773.462629973</v>
      </c>
      <c r="M9" s="196">
        <f t="shared" si="1"/>
        <v>-2505773.462629973</v>
      </c>
      <c r="N9" s="196">
        <f t="shared" si="1"/>
        <v>-2505773.462629973</v>
      </c>
      <c r="O9" s="196">
        <f t="shared" si="1"/>
        <v>-2505773.462629973</v>
      </c>
      <c r="P9" s="196">
        <f t="shared" si="1"/>
        <v>-2505773.462629973</v>
      </c>
      <c r="Q9" s="196">
        <f t="shared" si="1"/>
        <v>-2505773.462629973</v>
      </c>
      <c r="R9" s="196">
        <f t="shared" si="1"/>
        <v>-2505773.462629973</v>
      </c>
      <c r="S9" s="196">
        <f t="shared" si="1"/>
        <v>-2505773.462629973</v>
      </c>
      <c r="T9" s="196">
        <f t="shared" si="1"/>
        <v>-2505773.462629973</v>
      </c>
      <c r="U9" s="196">
        <f t="shared" si="1"/>
        <v>0</v>
      </c>
      <c r="V9" s="196">
        <f t="shared" si="1"/>
        <v>0</v>
      </c>
      <c r="W9" s="196">
        <f t="shared" si="1"/>
        <v>0</v>
      </c>
      <c r="X9" s="196">
        <f t="shared" si="1"/>
        <v>0</v>
      </c>
      <c r="Y9" s="196">
        <f t="shared" si="1"/>
        <v>0</v>
      </c>
      <c r="Z9" s="196">
        <f t="shared" si="1"/>
        <v>0</v>
      </c>
      <c r="AA9" s="196">
        <f t="shared" si="1"/>
        <v>0</v>
      </c>
      <c r="AB9" s="196">
        <f t="shared" si="1"/>
        <v>0</v>
      </c>
      <c r="AC9" s="196">
        <f t="shared" si="1"/>
        <v>0</v>
      </c>
      <c r="AD9" s="196">
        <f t="shared" si="1"/>
        <v>0</v>
      </c>
      <c r="AE9" s="196">
        <f t="shared" si="1"/>
        <v>0</v>
      </c>
      <c r="AF9" s="196">
        <f t="shared" si="1"/>
        <v>0</v>
      </c>
      <c r="AG9" s="196">
        <f t="shared" si="1"/>
        <v>0</v>
      </c>
      <c r="AH9" s="196">
        <f t="shared" si="1"/>
        <v>0</v>
      </c>
      <c r="AI9" s="196">
        <f t="shared" si="1"/>
        <v>0</v>
      </c>
      <c r="AJ9" s="196">
        <f t="shared" si="1"/>
        <v>0</v>
      </c>
      <c r="AK9" s="196">
        <f t="shared" si="1"/>
        <v>0</v>
      </c>
      <c r="AL9" s="196">
        <f t="shared" si="1"/>
        <v>0</v>
      </c>
      <c r="AM9" s="196">
        <f t="shared" si="1"/>
        <v>0</v>
      </c>
      <c r="AN9" s="196">
        <f t="shared" si="1"/>
        <v>0</v>
      </c>
      <c r="AO9" s="196">
        <f t="shared" si="1"/>
        <v>0</v>
      </c>
      <c r="AP9" s="196">
        <f t="shared" si="1"/>
        <v>0</v>
      </c>
      <c r="AQ9" s="196">
        <f t="shared" si="1"/>
        <v>0</v>
      </c>
      <c r="AR9" s="196">
        <f t="shared" si="1"/>
        <v>0</v>
      </c>
      <c r="AS9" s="196">
        <f t="shared" si="1"/>
        <v>0</v>
      </c>
    </row>
    <row r="10" spans="1:45" s="59" customFormat="1">
      <c r="A10" s="194"/>
      <c r="B10" s="88" t="s">
        <v>189</v>
      </c>
      <c r="C10" s="89" t="s">
        <v>185</v>
      </c>
      <c r="D10" s="88"/>
      <c r="E10" s="195"/>
      <c r="F10" s="195"/>
      <c r="G10" s="195"/>
      <c r="H10" s="195"/>
      <c r="I10" s="195"/>
      <c r="J10" s="195">
        <f>-pumpcost2*1000000</f>
        <v>-500000</v>
      </c>
      <c r="K10" s="195"/>
      <c r="L10" s="195"/>
      <c r="M10" s="195"/>
      <c r="N10" s="195"/>
      <c r="O10" s="195">
        <f>-pumpcost2*1000000</f>
        <v>-500000</v>
      </c>
      <c r="P10" s="195"/>
      <c r="Q10" s="195"/>
      <c r="R10" s="195"/>
      <c r="S10" s="195"/>
      <c r="T10" s="195">
        <f>-pumpcost2*1000000</f>
        <v>-500000</v>
      </c>
      <c r="U10" s="195"/>
      <c r="V10" s="195"/>
      <c r="W10" s="195"/>
      <c r="X10" s="195"/>
      <c r="Y10" s="195">
        <f>-pumpcost2*pumps*1000000*0.5</f>
        <v>-500000</v>
      </c>
      <c r="Z10" s="195"/>
      <c r="AA10" s="195"/>
      <c r="AB10" s="195"/>
      <c r="AC10" s="195"/>
      <c r="AD10" s="195">
        <f>-pumpcost2*1000000</f>
        <v>-500000</v>
      </c>
      <c r="AE10" s="195"/>
      <c r="AF10" s="195"/>
      <c r="AG10" s="195"/>
      <c r="AH10" s="195"/>
      <c r="AI10" s="195">
        <f>-pumpcost2*1000000</f>
        <v>-500000</v>
      </c>
      <c r="AJ10" s="195"/>
      <c r="AK10" s="195"/>
      <c r="AL10" s="195"/>
      <c r="AM10" s="195"/>
      <c r="AN10" s="195">
        <f>-pumpcost2*1000000</f>
        <v>-500000</v>
      </c>
      <c r="AO10" s="195"/>
      <c r="AP10" s="195"/>
      <c r="AQ10" s="195"/>
      <c r="AR10" s="195"/>
      <c r="AS10" s="195">
        <f>-pumpcost2*1000000</f>
        <v>-500000</v>
      </c>
    </row>
    <row r="11" spans="1:45">
      <c r="A11" s="53"/>
      <c r="B11" s="54" t="s">
        <v>190</v>
      </c>
      <c r="C11" s="54" t="s">
        <v>185</v>
      </c>
      <c r="D11" s="54"/>
      <c r="E11" s="192"/>
      <c r="F11" s="192">
        <f t="shared" ref="F11:AS11" si="2">IF(F4&gt;lifetime,0,Power*power_loadhours*power_feedin*0.01)</f>
        <v>0</v>
      </c>
      <c r="G11" s="192">
        <f t="shared" si="2"/>
        <v>0</v>
      </c>
      <c r="H11" s="192">
        <f t="shared" si="2"/>
        <v>0</v>
      </c>
      <c r="I11" s="192">
        <f t="shared" si="2"/>
        <v>0</v>
      </c>
      <c r="J11" s="192">
        <f t="shared" si="2"/>
        <v>0</v>
      </c>
      <c r="K11" s="192">
        <f t="shared" si="2"/>
        <v>0</v>
      </c>
      <c r="L11" s="192">
        <f t="shared" si="2"/>
        <v>0</v>
      </c>
      <c r="M11" s="192">
        <f t="shared" si="2"/>
        <v>0</v>
      </c>
      <c r="N11" s="192">
        <f t="shared" si="2"/>
        <v>0</v>
      </c>
      <c r="O11" s="192">
        <f t="shared" si="2"/>
        <v>0</v>
      </c>
      <c r="P11" s="192">
        <f t="shared" si="2"/>
        <v>0</v>
      </c>
      <c r="Q11" s="192">
        <f t="shared" si="2"/>
        <v>0</v>
      </c>
      <c r="R11" s="192">
        <f t="shared" si="2"/>
        <v>0</v>
      </c>
      <c r="S11" s="192">
        <f t="shared" si="2"/>
        <v>0</v>
      </c>
      <c r="T11" s="192">
        <f t="shared" si="2"/>
        <v>0</v>
      </c>
      <c r="U11" s="192">
        <f t="shared" si="2"/>
        <v>0</v>
      </c>
      <c r="V11" s="192">
        <f t="shared" si="2"/>
        <v>0</v>
      </c>
      <c r="W11" s="192">
        <f t="shared" si="2"/>
        <v>0</v>
      </c>
      <c r="X11" s="192">
        <f t="shared" si="2"/>
        <v>0</v>
      </c>
      <c r="Y11" s="192">
        <f t="shared" si="2"/>
        <v>0</v>
      </c>
      <c r="Z11" s="192">
        <f t="shared" si="2"/>
        <v>0</v>
      </c>
      <c r="AA11" s="192">
        <f t="shared" si="2"/>
        <v>0</v>
      </c>
      <c r="AB11" s="192">
        <f t="shared" si="2"/>
        <v>0</v>
      </c>
      <c r="AC11" s="192">
        <f t="shared" si="2"/>
        <v>0</v>
      </c>
      <c r="AD11" s="192">
        <f t="shared" si="2"/>
        <v>0</v>
      </c>
      <c r="AE11" s="192">
        <f t="shared" si="2"/>
        <v>0</v>
      </c>
      <c r="AF11" s="192">
        <f t="shared" si="2"/>
        <v>0</v>
      </c>
      <c r="AG11" s="192">
        <f t="shared" si="2"/>
        <v>0</v>
      </c>
      <c r="AH11" s="192">
        <f t="shared" si="2"/>
        <v>0</v>
      </c>
      <c r="AI11" s="192">
        <f t="shared" si="2"/>
        <v>0</v>
      </c>
      <c r="AJ11" s="192">
        <f t="shared" si="2"/>
        <v>0</v>
      </c>
      <c r="AK11" s="192">
        <f t="shared" si="2"/>
        <v>0</v>
      </c>
      <c r="AL11" s="192">
        <f t="shared" si="2"/>
        <v>0</v>
      </c>
      <c r="AM11" s="192">
        <f t="shared" si="2"/>
        <v>0</v>
      </c>
      <c r="AN11" s="192">
        <f t="shared" si="2"/>
        <v>0</v>
      </c>
      <c r="AO11" s="192">
        <f t="shared" si="2"/>
        <v>0</v>
      </c>
      <c r="AP11" s="192">
        <f t="shared" si="2"/>
        <v>0</v>
      </c>
      <c r="AQ11" s="192">
        <f t="shared" si="2"/>
        <v>0</v>
      </c>
      <c r="AR11" s="192">
        <f t="shared" si="2"/>
        <v>0</v>
      </c>
      <c r="AS11" s="192">
        <f t="shared" si="2"/>
        <v>0</v>
      </c>
    </row>
    <row r="12" spans="1:45">
      <c r="A12" s="53"/>
      <c r="B12" s="54"/>
      <c r="C12" s="54"/>
      <c r="D12" s="54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3"/>
    </row>
    <row r="13" spans="1:45">
      <c r="A13" s="53"/>
      <c r="B13" s="54" t="s">
        <v>191</v>
      </c>
      <c r="C13" s="54" t="s">
        <v>185</v>
      </c>
      <c r="D13" s="54"/>
      <c r="E13" s="192"/>
      <c r="F13" s="192">
        <f>IF(F4&gt;lifetime,0,POWER(1+inflation,F4-$F$4)*SUM(F11:F11))</f>
        <v>0</v>
      </c>
      <c r="G13" s="192">
        <f t="shared" ref="G13:AS13" si="3">IF(G4&gt;lifetime,0,POWER(1+inflation,G4-$F$4)*SUM(G11:G11))</f>
        <v>0</v>
      </c>
      <c r="H13" s="192">
        <f t="shared" si="3"/>
        <v>0</v>
      </c>
      <c r="I13" s="192">
        <f t="shared" si="3"/>
        <v>0</v>
      </c>
      <c r="J13" s="192">
        <f t="shared" si="3"/>
        <v>0</v>
      </c>
      <c r="K13" s="192">
        <f t="shared" si="3"/>
        <v>0</v>
      </c>
      <c r="L13" s="192">
        <f t="shared" si="3"/>
        <v>0</v>
      </c>
      <c r="M13" s="192">
        <f t="shared" si="3"/>
        <v>0</v>
      </c>
      <c r="N13" s="192">
        <f t="shared" si="3"/>
        <v>0</v>
      </c>
      <c r="O13" s="192">
        <f t="shared" si="3"/>
        <v>0</v>
      </c>
      <c r="P13" s="192">
        <f t="shared" si="3"/>
        <v>0</v>
      </c>
      <c r="Q13" s="192">
        <f t="shared" si="3"/>
        <v>0</v>
      </c>
      <c r="R13" s="192">
        <f t="shared" si="3"/>
        <v>0</v>
      </c>
      <c r="S13" s="192">
        <f t="shared" si="3"/>
        <v>0</v>
      </c>
      <c r="T13" s="192">
        <f t="shared" si="3"/>
        <v>0</v>
      </c>
      <c r="U13" s="192">
        <f t="shared" si="3"/>
        <v>0</v>
      </c>
      <c r="V13" s="192">
        <f t="shared" si="3"/>
        <v>0</v>
      </c>
      <c r="W13" s="192">
        <f t="shared" si="3"/>
        <v>0</v>
      </c>
      <c r="X13" s="192">
        <f t="shared" si="3"/>
        <v>0</v>
      </c>
      <c r="Y13" s="192">
        <f t="shared" si="3"/>
        <v>0</v>
      </c>
      <c r="Z13" s="192">
        <f t="shared" si="3"/>
        <v>0</v>
      </c>
      <c r="AA13" s="192">
        <f t="shared" si="3"/>
        <v>0</v>
      </c>
      <c r="AB13" s="192">
        <f t="shared" si="3"/>
        <v>0</v>
      </c>
      <c r="AC13" s="192">
        <f t="shared" si="3"/>
        <v>0</v>
      </c>
      <c r="AD13" s="192">
        <f t="shared" si="3"/>
        <v>0</v>
      </c>
      <c r="AE13" s="192">
        <f t="shared" si="3"/>
        <v>0</v>
      </c>
      <c r="AF13" s="192">
        <f t="shared" si="3"/>
        <v>0</v>
      </c>
      <c r="AG13" s="192">
        <f t="shared" si="3"/>
        <v>0</v>
      </c>
      <c r="AH13" s="192">
        <f t="shared" si="3"/>
        <v>0</v>
      </c>
      <c r="AI13" s="192">
        <f t="shared" si="3"/>
        <v>0</v>
      </c>
      <c r="AJ13" s="192">
        <f t="shared" si="3"/>
        <v>0</v>
      </c>
      <c r="AK13" s="192">
        <f t="shared" si="3"/>
        <v>0</v>
      </c>
      <c r="AL13" s="192">
        <f t="shared" si="3"/>
        <v>0</v>
      </c>
      <c r="AM13" s="192">
        <f t="shared" si="3"/>
        <v>0</v>
      </c>
      <c r="AN13" s="192">
        <f t="shared" si="3"/>
        <v>0</v>
      </c>
      <c r="AO13" s="192">
        <f t="shared" si="3"/>
        <v>0</v>
      </c>
      <c r="AP13" s="192">
        <f t="shared" si="3"/>
        <v>0</v>
      </c>
      <c r="AQ13" s="192">
        <f t="shared" si="3"/>
        <v>0</v>
      </c>
      <c r="AR13" s="192">
        <f t="shared" si="3"/>
        <v>0</v>
      </c>
      <c r="AS13" s="192">
        <f t="shared" si="3"/>
        <v>0</v>
      </c>
    </row>
    <row r="14" spans="1:45">
      <c r="A14" s="71"/>
      <c r="B14" s="70" t="s">
        <v>213</v>
      </c>
      <c r="C14" s="70" t="s">
        <v>185</v>
      </c>
      <c r="D14" s="70"/>
      <c r="E14" s="197"/>
      <c r="F14" s="198">
        <f>IF(F4&gt;lifetime,0,POWER(1+inflation,F4-$F$4)*SUM(F9:F10))</f>
        <v>-2505773.462629973</v>
      </c>
      <c r="G14" s="197">
        <f t="shared" ref="G14:AS14" si="4">IF(G4&gt;lifetime,0,POWER(1+inflation,G4-$F$4)*SUM(G9:G10))</f>
        <v>-2543360.0645694225</v>
      </c>
      <c r="H14" s="197">
        <f t="shared" si="4"/>
        <v>-2581510.465537963</v>
      </c>
      <c r="I14" s="197">
        <f t="shared" si="4"/>
        <v>-2620233.1225210326</v>
      </c>
      <c r="J14" s="197">
        <f t="shared" si="4"/>
        <v>-3190218.394671347</v>
      </c>
      <c r="K14" s="197">
        <f t="shared" si="4"/>
        <v>-2699429.6686492297</v>
      </c>
      <c r="L14" s="197">
        <f t="shared" si="4"/>
        <v>-2739921.1136789676</v>
      </c>
      <c r="M14" s="197">
        <f t="shared" si="4"/>
        <v>-2781019.9303841516</v>
      </c>
      <c r="N14" s="197">
        <f t="shared" si="4"/>
        <v>-2822735.2293399139</v>
      </c>
      <c r="O14" s="197">
        <f t="shared" si="4"/>
        <v>-3436771.2454771297</v>
      </c>
      <c r="P14" s="197">
        <f t="shared" si="4"/>
        <v>-2908052.4016467119</v>
      </c>
      <c r="Q14" s="197">
        <f t="shared" si="4"/>
        <v>-2951673.1876714122</v>
      </c>
      <c r="R14" s="197">
        <f t="shared" si="4"/>
        <v>-2995948.285486483</v>
      </c>
      <c r="S14" s="197">
        <f t="shared" si="4"/>
        <v>-3040887.5097687799</v>
      </c>
      <c r="T14" s="197">
        <f t="shared" si="4"/>
        <v>-3702378.6877622898</v>
      </c>
      <c r="U14" s="197">
        <f t="shared" si="4"/>
        <v>0</v>
      </c>
      <c r="V14" s="197">
        <f t="shared" si="4"/>
        <v>0</v>
      </c>
      <c r="W14" s="197">
        <f t="shared" si="4"/>
        <v>0</v>
      </c>
      <c r="X14" s="197">
        <f t="shared" si="4"/>
        <v>0</v>
      </c>
      <c r="Y14" s="197">
        <f t="shared" si="4"/>
        <v>0</v>
      </c>
      <c r="Z14" s="197">
        <f t="shared" si="4"/>
        <v>0</v>
      </c>
      <c r="AA14" s="197">
        <f t="shared" si="4"/>
        <v>0</v>
      </c>
      <c r="AB14" s="197">
        <f t="shared" si="4"/>
        <v>0</v>
      </c>
      <c r="AC14" s="197">
        <f t="shared" si="4"/>
        <v>0</v>
      </c>
      <c r="AD14" s="197">
        <f t="shared" si="4"/>
        <v>0</v>
      </c>
      <c r="AE14" s="197">
        <f t="shared" si="4"/>
        <v>0</v>
      </c>
      <c r="AF14" s="197">
        <f t="shared" si="4"/>
        <v>0</v>
      </c>
      <c r="AG14" s="197">
        <f t="shared" si="4"/>
        <v>0</v>
      </c>
      <c r="AH14" s="197">
        <f t="shared" si="4"/>
        <v>0</v>
      </c>
      <c r="AI14" s="197">
        <f t="shared" si="4"/>
        <v>0</v>
      </c>
      <c r="AJ14" s="197">
        <f t="shared" si="4"/>
        <v>0</v>
      </c>
      <c r="AK14" s="197">
        <f t="shared" si="4"/>
        <v>0</v>
      </c>
      <c r="AL14" s="197">
        <f t="shared" si="4"/>
        <v>0</v>
      </c>
      <c r="AM14" s="197">
        <f t="shared" si="4"/>
        <v>0</v>
      </c>
      <c r="AN14" s="197">
        <f t="shared" si="4"/>
        <v>0</v>
      </c>
      <c r="AO14" s="197">
        <f t="shared" si="4"/>
        <v>0</v>
      </c>
      <c r="AP14" s="197">
        <f t="shared" si="4"/>
        <v>0</v>
      </c>
      <c r="AQ14" s="197">
        <f t="shared" si="4"/>
        <v>0</v>
      </c>
      <c r="AR14" s="197">
        <f t="shared" si="4"/>
        <v>0</v>
      </c>
      <c r="AS14" s="199">
        <f t="shared" si="4"/>
        <v>0</v>
      </c>
    </row>
    <row r="15" spans="1:45">
      <c r="A15" s="15"/>
      <c r="B15" s="15" t="s">
        <v>193</v>
      </c>
      <c r="C15" s="16" t="s">
        <v>185</v>
      </c>
      <c r="D15" s="16"/>
      <c r="E15" s="17"/>
      <c r="F15" s="17">
        <f>SUM(F13:F14)</f>
        <v>-2505773.462629973</v>
      </c>
      <c r="G15" s="17">
        <f t="shared" ref="G15:AS15" si="5">SUM(G13:G14)</f>
        <v>-2543360.0645694225</v>
      </c>
      <c r="H15" s="17">
        <f t="shared" si="5"/>
        <v>-2581510.465537963</v>
      </c>
      <c r="I15" s="17">
        <f t="shared" si="5"/>
        <v>-2620233.1225210326</v>
      </c>
      <c r="J15" s="17">
        <f t="shared" si="5"/>
        <v>-3190218.394671347</v>
      </c>
      <c r="K15" s="17">
        <f t="shared" si="5"/>
        <v>-2699429.6686492297</v>
      </c>
      <c r="L15" s="17">
        <f t="shared" si="5"/>
        <v>-2739921.1136789676</v>
      </c>
      <c r="M15" s="17">
        <f t="shared" si="5"/>
        <v>-2781019.9303841516</v>
      </c>
      <c r="N15" s="17">
        <f t="shared" si="5"/>
        <v>-2822735.2293399139</v>
      </c>
      <c r="O15" s="17">
        <f t="shared" si="5"/>
        <v>-3436771.2454771297</v>
      </c>
      <c r="P15" s="17">
        <f t="shared" si="5"/>
        <v>-2908052.4016467119</v>
      </c>
      <c r="Q15" s="17">
        <f t="shared" si="5"/>
        <v>-2951673.1876714122</v>
      </c>
      <c r="R15" s="17">
        <f t="shared" si="5"/>
        <v>-2995948.285486483</v>
      </c>
      <c r="S15" s="17">
        <f t="shared" si="5"/>
        <v>-3040887.5097687799</v>
      </c>
      <c r="T15" s="17">
        <f t="shared" si="5"/>
        <v>-3702378.6877622898</v>
      </c>
      <c r="U15" s="17">
        <f t="shared" si="5"/>
        <v>0</v>
      </c>
      <c r="V15" s="17">
        <f t="shared" si="5"/>
        <v>0</v>
      </c>
      <c r="W15" s="17">
        <f t="shared" si="5"/>
        <v>0</v>
      </c>
      <c r="X15" s="17">
        <f t="shared" si="5"/>
        <v>0</v>
      </c>
      <c r="Y15" s="17">
        <f t="shared" si="5"/>
        <v>0</v>
      </c>
      <c r="Z15" s="17">
        <f t="shared" si="5"/>
        <v>0</v>
      </c>
      <c r="AA15" s="17">
        <f t="shared" si="5"/>
        <v>0</v>
      </c>
      <c r="AB15" s="17">
        <f t="shared" si="5"/>
        <v>0</v>
      </c>
      <c r="AC15" s="17">
        <f t="shared" si="5"/>
        <v>0</v>
      </c>
      <c r="AD15" s="17">
        <f t="shared" si="5"/>
        <v>0</v>
      </c>
      <c r="AE15" s="17">
        <f t="shared" si="5"/>
        <v>0</v>
      </c>
      <c r="AF15" s="17">
        <f t="shared" si="5"/>
        <v>0</v>
      </c>
      <c r="AG15" s="17">
        <f t="shared" si="5"/>
        <v>0</v>
      </c>
      <c r="AH15" s="17">
        <f t="shared" si="5"/>
        <v>0</v>
      </c>
      <c r="AI15" s="17">
        <f t="shared" si="5"/>
        <v>0</v>
      </c>
      <c r="AJ15" s="17">
        <f t="shared" si="5"/>
        <v>0</v>
      </c>
      <c r="AK15" s="17">
        <f t="shared" si="5"/>
        <v>0</v>
      </c>
      <c r="AL15" s="17">
        <f t="shared" si="5"/>
        <v>0</v>
      </c>
      <c r="AM15" s="17">
        <f t="shared" si="5"/>
        <v>0</v>
      </c>
      <c r="AN15" s="17">
        <f t="shared" si="5"/>
        <v>0</v>
      </c>
      <c r="AO15" s="17">
        <f t="shared" si="5"/>
        <v>0</v>
      </c>
      <c r="AP15" s="17">
        <f t="shared" si="5"/>
        <v>0</v>
      </c>
      <c r="AQ15" s="17">
        <f t="shared" si="5"/>
        <v>0</v>
      </c>
      <c r="AR15" s="17">
        <f t="shared" si="5"/>
        <v>0</v>
      </c>
      <c r="AS15" s="18">
        <f t="shared" si="5"/>
        <v>0</v>
      </c>
    </row>
    <row r="16" spans="1:45" s="3" customFormat="1">
      <c r="A16" s="72"/>
      <c r="B16" s="53"/>
      <c r="C16" s="54"/>
      <c r="D16" s="54"/>
      <c r="E16" s="192"/>
      <c r="F16" s="192"/>
      <c r="G16" s="192"/>
      <c r="H16" s="192"/>
      <c r="I16" s="192"/>
      <c r="J16" s="192"/>
      <c r="K16" s="192"/>
      <c r="L16" s="192"/>
      <c r="M16" s="192"/>
      <c r="N16" s="192"/>
      <c r="O16" s="192"/>
      <c r="P16" s="192"/>
      <c r="Q16" s="192"/>
      <c r="R16" s="192"/>
      <c r="S16" s="192"/>
      <c r="T16" s="192"/>
      <c r="U16" s="192"/>
      <c r="V16" s="192"/>
      <c r="W16" s="192"/>
      <c r="X16" s="192"/>
      <c r="Y16" s="192"/>
      <c r="Z16" s="192"/>
      <c r="AA16" s="192"/>
      <c r="AB16" s="192"/>
      <c r="AC16" s="192"/>
      <c r="AD16" s="192"/>
      <c r="AE16" s="192"/>
      <c r="AF16" s="192"/>
      <c r="AG16" s="192"/>
      <c r="AH16" s="192"/>
      <c r="AI16" s="192"/>
      <c r="AJ16" s="192"/>
      <c r="AK16" s="192"/>
      <c r="AL16" s="192"/>
      <c r="AM16" s="192"/>
      <c r="AN16" s="192"/>
      <c r="AO16" s="192"/>
      <c r="AP16" s="192"/>
      <c r="AQ16" s="192"/>
      <c r="AR16" s="192"/>
      <c r="AS16" s="193"/>
    </row>
    <row r="17" spans="1:45">
      <c r="A17" s="53"/>
      <c r="B17" s="53" t="s">
        <v>194</v>
      </c>
      <c r="C17" s="54" t="s">
        <v>185</v>
      </c>
      <c r="D17" s="54"/>
      <c r="E17" s="192"/>
      <c r="F17" s="192">
        <f>IF(F4&gt;depreciation_time,0,-$C$30/depreciation_time)</f>
        <v>-1475178.2008944785</v>
      </c>
      <c r="G17" s="192">
        <f t="shared" ref="G17:AS17" si="6">IF(G4&gt;depreciation_time,0,-$C$30/depreciation_time)</f>
        <v>-1475178.2008944785</v>
      </c>
      <c r="H17" s="192">
        <f t="shared" si="6"/>
        <v>-1475178.2008944785</v>
      </c>
      <c r="I17" s="192">
        <f t="shared" si="6"/>
        <v>-1475178.2008944785</v>
      </c>
      <c r="J17" s="192">
        <f t="shared" si="6"/>
        <v>-1475178.2008944785</v>
      </c>
      <c r="K17" s="192">
        <f t="shared" si="6"/>
        <v>-1475178.2008944785</v>
      </c>
      <c r="L17" s="192">
        <f t="shared" si="6"/>
        <v>-1475178.2008944785</v>
      </c>
      <c r="M17" s="192">
        <f t="shared" si="6"/>
        <v>-1475178.2008944785</v>
      </c>
      <c r="N17" s="192">
        <f t="shared" si="6"/>
        <v>-1475178.2008944785</v>
      </c>
      <c r="O17" s="192">
        <f t="shared" si="6"/>
        <v>-1475178.2008944785</v>
      </c>
      <c r="P17" s="192">
        <f t="shared" si="6"/>
        <v>-1475178.2008944785</v>
      </c>
      <c r="Q17" s="192">
        <f t="shared" si="6"/>
        <v>-1475178.2008944785</v>
      </c>
      <c r="R17" s="192">
        <f t="shared" si="6"/>
        <v>-1475178.2008944785</v>
      </c>
      <c r="S17" s="192">
        <f t="shared" si="6"/>
        <v>-1475178.2008944785</v>
      </c>
      <c r="T17" s="192">
        <f t="shared" si="6"/>
        <v>-1475178.2008944785</v>
      </c>
      <c r="U17" s="192">
        <f t="shared" si="6"/>
        <v>0</v>
      </c>
      <c r="V17" s="192">
        <f t="shared" si="6"/>
        <v>0</v>
      </c>
      <c r="W17" s="192">
        <f t="shared" si="6"/>
        <v>0</v>
      </c>
      <c r="X17" s="192">
        <f t="shared" si="6"/>
        <v>0</v>
      </c>
      <c r="Y17" s="192">
        <f t="shared" si="6"/>
        <v>0</v>
      </c>
      <c r="Z17" s="192">
        <f t="shared" si="6"/>
        <v>0</v>
      </c>
      <c r="AA17" s="192">
        <f t="shared" si="6"/>
        <v>0</v>
      </c>
      <c r="AB17" s="192">
        <f t="shared" si="6"/>
        <v>0</v>
      </c>
      <c r="AC17" s="192">
        <f t="shared" si="6"/>
        <v>0</v>
      </c>
      <c r="AD17" s="192">
        <f t="shared" si="6"/>
        <v>0</v>
      </c>
      <c r="AE17" s="192">
        <f t="shared" si="6"/>
        <v>0</v>
      </c>
      <c r="AF17" s="192">
        <f t="shared" si="6"/>
        <v>0</v>
      </c>
      <c r="AG17" s="192">
        <f t="shared" si="6"/>
        <v>0</v>
      </c>
      <c r="AH17" s="192">
        <f t="shared" si="6"/>
        <v>0</v>
      </c>
      <c r="AI17" s="192">
        <f t="shared" si="6"/>
        <v>0</v>
      </c>
      <c r="AJ17" s="192">
        <f t="shared" si="6"/>
        <v>0</v>
      </c>
      <c r="AK17" s="192">
        <f t="shared" si="6"/>
        <v>0</v>
      </c>
      <c r="AL17" s="192">
        <f t="shared" si="6"/>
        <v>0</v>
      </c>
      <c r="AM17" s="192">
        <f t="shared" si="6"/>
        <v>0</v>
      </c>
      <c r="AN17" s="192">
        <f t="shared" si="6"/>
        <v>0</v>
      </c>
      <c r="AO17" s="192">
        <f t="shared" si="6"/>
        <v>0</v>
      </c>
      <c r="AP17" s="192">
        <f t="shared" si="6"/>
        <v>0</v>
      </c>
      <c r="AQ17" s="192">
        <f t="shared" si="6"/>
        <v>0</v>
      </c>
      <c r="AR17" s="192">
        <f t="shared" si="6"/>
        <v>0</v>
      </c>
      <c r="AS17" s="192">
        <f t="shared" si="6"/>
        <v>0</v>
      </c>
    </row>
    <row r="18" spans="1:45">
      <c r="A18" s="53"/>
      <c r="B18" s="53" t="s">
        <v>195</v>
      </c>
      <c r="C18" s="53" t="s">
        <v>185</v>
      </c>
      <c r="D18" s="53"/>
      <c r="E18" s="192"/>
      <c r="F18" s="192">
        <f>IF(F4&gt;term_loan,0,IPMT(Input_Output!$D$67,F4,term_loan,CFpower!$C$35))</f>
        <v>-885106.92053668713</v>
      </c>
      <c r="G18" s="192">
        <f>IF(G4&gt;term_loan,0,IPMT(Input_Output!$D$67,G4,term_loan,CFpower!$C$35))</f>
        <v>-844089.04106024327</v>
      </c>
      <c r="H18" s="192">
        <f>IF(H4&gt;term_loan,0,IPMT(Input_Output!$D$67,H4,term_loan,CFpower!$C$35))</f>
        <v>-801020.26760997728</v>
      </c>
      <c r="I18" s="192">
        <f>IF(I4&gt;term_loan,0,IPMT(Input_Output!$D$67,I4,term_loan,CFpower!$C$35))</f>
        <v>-755798.05548719794</v>
      </c>
      <c r="J18" s="192">
        <f>IF(J4&gt;term_loan,0,IPMT(Input_Output!$D$67,J4,term_loan,CFpower!$C$35))</f>
        <v>-708314.73275827989</v>
      </c>
      <c r="K18" s="192">
        <f>IF(K4&gt;term_loan,0,IPMT(Input_Output!$D$67,K4,term_loan,CFpower!$C$35))</f>
        <v>-658457.2438929159</v>
      </c>
      <c r="L18" s="192">
        <f>IF(L4&gt;term_loan,0,IPMT(Input_Output!$D$67,L4,term_loan,CFpower!$C$35))</f>
        <v>-606106.88058428338</v>
      </c>
      <c r="M18" s="192">
        <f>IF(M4&gt;term_loan,0,IPMT(Input_Output!$D$67,M4,term_loan,CFpower!$C$35))</f>
        <v>-551138.99911021942</v>
      </c>
      <c r="N18" s="192">
        <f>IF(N4&gt;term_loan,0,IPMT(Input_Output!$D$67,N4,term_loan,CFpower!$C$35))</f>
        <v>-493422.72356245242</v>
      </c>
      <c r="O18" s="192">
        <f>IF(O4&gt;term_loan,0,IPMT(Input_Output!$D$67,O4,term_loan,CFpower!$C$35))</f>
        <v>-432820.63423729688</v>
      </c>
      <c r="P18" s="192">
        <f>IF(P4&gt;term_loan,0,IPMT(Input_Output!$D$67,P4,term_loan,CFpower!$C$35))</f>
        <v>-369188.44044588361</v>
      </c>
      <c r="Q18" s="192">
        <f>IF(Q4&gt;term_loan,0,IPMT(Input_Output!$D$67,Q4,term_loan,CFpower!$C$35))</f>
        <v>-302374.63696489966</v>
      </c>
      <c r="R18" s="192">
        <f>IF(R4&gt;term_loan,0,IPMT(Input_Output!$D$67,R4,term_loan,CFpower!$C$35))</f>
        <v>-232220.14330986651</v>
      </c>
      <c r="S18" s="192">
        <f>IF(S4&gt;term_loan,0,IPMT(Input_Output!$D$67,S4,term_loan,CFpower!$C$35))</f>
        <v>-158557.92497208176</v>
      </c>
      <c r="T18" s="192">
        <f>IF(T4&gt;term_loan,0,IPMT(Input_Output!$D$67,T4,term_loan,CFpower!$C$35))</f>
        <v>-81212.595717407734</v>
      </c>
      <c r="U18" s="192">
        <f>IF(U4&gt;term_loan,0,IPMT(Input_Output!$D$67,U4,term_loan,CFpower!$C$35))</f>
        <v>0</v>
      </c>
      <c r="V18" s="192">
        <f>IF(V4&gt;term_loan,0,IPMT(Input_Output!$D$67,V4,term_loan,CFpower!$C$35))</f>
        <v>0</v>
      </c>
      <c r="W18" s="192">
        <f>IF(W4&gt;term_loan,0,IPMT(Input_Output!$D$67,W4,term_loan,CFpower!$C$35))</f>
        <v>0</v>
      </c>
      <c r="X18" s="192">
        <f>IF(X4&gt;term_loan,0,IPMT(Input_Output!$D$67,X4,term_loan,CFpower!$C$35))</f>
        <v>0</v>
      </c>
      <c r="Y18" s="192">
        <f>IF(Y4&gt;term_loan,0,IPMT(Input_Output!$D$67,Y4,term_loan,CFpower!$C$35))</f>
        <v>0</v>
      </c>
      <c r="Z18" s="192">
        <f>IF(Z4&gt;term_loan,0,IPMT(Input_Output!$D$67,Z4,term_loan,CFpower!$C$35))</f>
        <v>0</v>
      </c>
      <c r="AA18" s="192">
        <f>IF(AA4&gt;term_loan,0,IPMT(Input_Output!$D$67,AA4,term_loan,CFpower!$C$35))</f>
        <v>0</v>
      </c>
      <c r="AB18" s="192">
        <f>IF(AB4&gt;term_loan,0,IPMT(Input_Output!$D$67,AB4,term_loan,CFpower!$C$35))</f>
        <v>0</v>
      </c>
      <c r="AC18" s="192">
        <f>IF(AC4&gt;term_loan,0,IPMT(Input_Output!$D$67,AC4,term_loan,CFpower!$C$35))</f>
        <v>0</v>
      </c>
      <c r="AD18" s="192">
        <f>IF(AD4&gt;term_loan,0,IPMT(Input_Output!$D$67,AD4,term_loan,CFpower!$C$35))</f>
        <v>0</v>
      </c>
      <c r="AE18" s="192">
        <f>IF(AE4&gt;term_loan,0,IPMT(Input_Output!$D$67,AE4,term_loan,CFpower!$C$35))</f>
        <v>0</v>
      </c>
      <c r="AF18" s="192">
        <f>IF(AF4&gt;term_loan,0,IPMT(Input_Output!$D$67,AF4,term_loan,CFpower!$C$35))</f>
        <v>0</v>
      </c>
      <c r="AG18" s="192">
        <f>IF(AG4&gt;term_loan,0,IPMT(Input_Output!$D$67,AG4,term_loan,CFpower!$C$35))</f>
        <v>0</v>
      </c>
      <c r="AH18" s="192">
        <f>IF(AH4&gt;term_loan,0,IPMT(Input_Output!$D$67,AH4,term_loan,CFpower!$C$35))</f>
        <v>0</v>
      </c>
      <c r="AI18" s="192">
        <f>IF(AI4&gt;term_loan,0,IPMT(Input_Output!$D$67,AI4,term_loan,CFpower!$C$35))</f>
        <v>0</v>
      </c>
      <c r="AJ18" s="192">
        <f>IF(AJ4&gt;term_loan,0,IPMT(Input_Output!$D$67,AJ4,term_loan,CFpower!$C$35))</f>
        <v>0</v>
      </c>
      <c r="AK18" s="192">
        <f>IF(AK4&gt;term_loan,0,IPMT(Input_Output!$D$67,AK4,term_loan,CFpower!$C$35))</f>
        <v>0</v>
      </c>
      <c r="AL18" s="192">
        <f>IF(AL4&gt;term_loan,0,IPMT(Input_Output!$D$67,AL4,term_loan,CFpower!$C$35))</f>
        <v>0</v>
      </c>
      <c r="AM18" s="192">
        <f>IF(AM4&gt;term_loan,0,IPMT(Input_Output!$D$67,AM4,term_loan,CFpower!$C$35))</f>
        <v>0</v>
      </c>
      <c r="AN18" s="192">
        <f>IF(AN4&gt;term_loan,0,IPMT(Input_Output!$D$67,AN4,term_loan,CFpower!$C$35))</f>
        <v>0</v>
      </c>
      <c r="AO18" s="192">
        <f>IF(AO4&gt;term_loan,0,IPMT(Input_Output!$D$67,AO4,term_loan,CFpower!$C$35))</f>
        <v>0</v>
      </c>
      <c r="AP18" s="192">
        <f>IF(AP4&gt;term_loan,0,IPMT(Input_Output!$D$67,AP4,term_loan,CFpower!$C$35))</f>
        <v>0</v>
      </c>
      <c r="AQ18" s="192">
        <f>IF(AQ4&gt;term_loan,0,IPMT(Input_Output!$D$67,AQ4,term_loan,CFpower!$C$35))</f>
        <v>0</v>
      </c>
      <c r="AR18" s="192">
        <f>IF(AR4&gt;term_loan,0,IPMT(Input_Output!$D$67,AR4,term_loan,CFpower!$C$35))</f>
        <v>0</v>
      </c>
      <c r="AS18" s="193">
        <f>IF(AS4&gt;term_loan,0,IPMT(Input_Output!$D$67,AS4,term_loan,CFpower!$C$35))</f>
        <v>0</v>
      </c>
    </row>
    <row r="19" spans="1:45">
      <c r="A19" s="53"/>
      <c r="B19" s="53" t="s">
        <v>196</v>
      </c>
      <c r="C19" s="53" t="s">
        <v>185</v>
      </c>
      <c r="D19" s="53"/>
      <c r="E19" s="192"/>
      <c r="F19" s="192">
        <f>IF(F4&gt;term_loan,0,PPMT(Input_Output!$D$67,F4,term_loan,$C$35))</f>
        <v>-820357.58952887496</v>
      </c>
      <c r="G19" s="192">
        <f>IF(G4&gt;term_loan,0,PPMT(Input_Output!$D$67,G4,term_loan,$C$35))</f>
        <v>-861375.46900531882</v>
      </c>
      <c r="H19" s="192">
        <f>IF(H4&gt;term_loan,0,PPMT(Input_Output!$D$67,H4,term_loan,$C$35))</f>
        <v>-904444.24245558458</v>
      </c>
      <c r="I19" s="192">
        <f>IF(I4&gt;term_loan,0,PPMT(Input_Output!$D$67,I4,term_loan,$C$35))</f>
        <v>-949666.45457836392</v>
      </c>
      <c r="J19" s="192">
        <f>IF(J4&gt;term_loan,0,PPMT(Input_Output!$D$67,J4,term_loan,$C$35))</f>
        <v>-997149.77730728209</v>
      </c>
      <c r="K19" s="192">
        <f>IF(K4&gt;term_loan,0,PPMT(Input_Output!$D$67,K4,term_loan,$C$35))</f>
        <v>-1047007.2661726462</v>
      </c>
      <c r="L19" s="192">
        <f>IF(L4&gt;term_loan,0,PPMT(Input_Output!$D$67,L4,term_loan,$C$35))</f>
        <v>-1099357.6294812784</v>
      </c>
      <c r="M19" s="192">
        <f>IF(M4&gt;term_loan,0,PPMT(Input_Output!$D$67,M4,term_loan,$C$35))</f>
        <v>-1154325.5109553423</v>
      </c>
      <c r="N19" s="192">
        <f>IF(N4&gt;term_loan,0,PPMT(Input_Output!$D$67,N4,term_loan,$C$35))</f>
        <v>-1212041.7865031096</v>
      </c>
      <c r="O19" s="192">
        <f>IF(O4&gt;term_loan,0,PPMT(Input_Output!$D$67,O4,term_loan,$C$35))</f>
        <v>-1272643.8758282652</v>
      </c>
      <c r="P19" s="192">
        <f>IF(P4&gt;term_loan,0,PPMT(Input_Output!$D$67,P4,term_loan,$C$35))</f>
        <v>-1336276.0696196784</v>
      </c>
      <c r="Q19" s="192">
        <f>IF(Q4&gt;term_loan,0,PPMT(Input_Output!$D$67,Q4,term_loan,$C$35))</f>
        <v>-1403089.8731006624</v>
      </c>
      <c r="R19" s="192">
        <f>IF(R4&gt;term_loan,0,PPMT(Input_Output!$D$67,R4,term_loan,$C$35))</f>
        <v>-1473244.3667556953</v>
      </c>
      <c r="S19" s="192">
        <f>IF(S4&gt;term_loan,0,PPMT(Input_Output!$D$67,S4,term_loan,$C$35))</f>
        <v>-1546906.5850934803</v>
      </c>
      <c r="T19" s="192">
        <f>IF(T4&gt;term_loan,0,PPMT(Input_Output!$D$67,T4,term_loan,$C$35))</f>
        <v>-1624251.9143481543</v>
      </c>
      <c r="U19" s="192">
        <f>IF(U4&gt;term_loan,0,PPMT(Input_Output!$D$67,U4,term_loan,$C$35))</f>
        <v>0</v>
      </c>
      <c r="V19" s="192">
        <f>IF(V4&gt;term_loan,0,PPMT(Input_Output!$D$67,V4,term_loan,$C$35))</f>
        <v>0</v>
      </c>
      <c r="W19" s="192">
        <f>IF(W4&gt;term_loan,0,PPMT(Input_Output!$D$67,W4,term_loan,$C$35))</f>
        <v>0</v>
      </c>
      <c r="X19" s="192">
        <f>IF(X4&gt;term_loan,0,PPMT(Input_Output!$D$67,X4,term_loan,$C$35))</f>
        <v>0</v>
      </c>
      <c r="Y19" s="192">
        <f>IF(Y4&gt;term_loan,0,PPMT(Input_Output!$D$67,Y4,term_loan,$C$35))</f>
        <v>0</v>
      </c>
      <c r="Z19" s="192">
        <f>IF(Z4&gt;term_loan,0,PPMT(Input_Output!$D$67,Z4,term_loan,$C$35))</f>
        <v>0</v>
      </c>
      <c r="AA19" s="192">
        <f>IF(AA4&gt;term_loan,0,PPMT(Input_Output!$D$67,AA4,term_loan,$C$35))</f>
        <v>0</v>
      </c>
      <c r="AB19" s="192">
        <f>IF(AB4&gt;term_loan,0,PPMT(Input_Output!$D$67,AB4,term_loan,$C$35))</f>
        <v>0</v>
      </c>
      <c r="AC19" s="192">
        <f>IF(AC4&gt;term_loan,0,PPMT(Input_Output!$D$67,AC4,term_loan,$C$35))</f>
        <v>0</v>
      </c>
      <c r="AD19" s="192">
        <f>IF(AD4&gt;term_loan,0,PPMT(Input_Output!$D$67,AD4,term_loan,$C$35))</f>
        <v>0</v>
      </c>
      <c r="AE19" s="192">
        <f>IF(AE4&gt;term_loan,0,PPMT(Input_Output!$D$67,AE4,term_loan,$C$35))</f>
        <v>0</v>
      </c>
      <c r="AF19" s="192">
        <f>IF(AF4&gt;term_loan,0,PPMT(Input_Output!$D$67,AF4,term_loan,$C$35))</f>
        <v>0</v>
      </c>
      <c r="AG19" s="192">
        <f>IF(AG4&gt;term_loan,0,PPMT(Input_Output!$D$67,AG4,term_loan,$C$35))</f>
        <v>0</v>
      </c>
      <c r="AH19" s="192">
        <f>IF(AH4&gt;term_loan,0,PPMT(Input_Output!$D$67,AH4,term_loan,$C$35))</f>
        <v>0</v>
      </c>
      <c r="AI19" s="192">
        <f>IF(AI4&gt;term_loan,0,PPMT(Input_Output!$D$67,AI4,term_loan,$C$35))</f>
        <v>0</v>
      </c>
      <c r="AJ19" s="192">
        <f>IF(AJ4&gt;term_loan,0,PPMT(Input_Output!$D$67,AJ4,term_loan,$C$35))</f>
        <v>0</v>
      </c>
      <c r="AK19" s="192">
        <f>IF(AK4&gt;term_loan,0,PPMT(Input_Output!$D$67,AK4,term_loan,$C$35))</f>
        <v>0</v>
      </c>
      <c r="AL19" s="192">
        <f>IF(AL4&gt;term_loan,0,PPMT(Input_Output!$D$67,AL4,term_loan,$C$35))</f>
        <v>0</v>
      </c>
      <c r="AM19" s="192">
        <f>IF(AM4&gt;term_loan,0,PPMT(Input_Output!$D$67,AM4,term_loan,$C$35))</f>
        <v>0</v>
      </c>
      <c r="AN19" s="192">
        <f>IF(AN4&gt;term_loan,0,PPMT(Input_Output!$D$67,AN4,term_loan,$C$35))</f>
        <v>0</v>
      </c>
      <c r="AO19" s="192">
        <f>IF(AO4&gt;term_loan,0,PPMT(Input_Output!$D$67,AO4,term_loan,$C$35))</f>
        <v>0</v>
      </c>
      <c r="AP19" s="192">
        <f>IF(AP4&gt;term_loan,0,PPMT(Input_Output!$D$67,AP4,term_loan,$C$35))</f>
        <v>0</v>
      </c>
      <c r="AQ19" s="192">
        <f>IF(AQ4&gt;term_loan,0,PPMT(Input_Output!$D$67,AQ4,term_loan,$C$35))</f>
        <v>0</v>
      </c>
      <c r="AR19" s="192">
        <f>IF(AR4&gt;term_loan,0,PPMT(Input_Output!$D$67,AR4,term_loan,$C$35))</f>
        <v>0</v>
      </c>
      <c r="AS19" s="192">
        <f>IF(AS4&gt;term_loan,0,PPMT(Input_Output!$D$67,AS4,term_loan,$C$35))</f>
        <v>0</v>
      </c>
    </row>
    <row r="20" spans="1:45" s="2" customFormat="1">
      <c r="A20" s="53"/>
      <c r="B20" s="53" t="s">
        <v>197</v>
      </c>
      <c r="C20" s="53" t="s">
        <v>185</v>
      </c>
      <c r="D20" s="53"/>
      <c r="E20" s="192"/>
      <c r="F20" s="192">
        <f>SUM(F18,F19)</f>
        <v>-1705464.5100655621</v>
      </c>
      <c r="G20" s="192">
        <f t="shared" ref="G20:AS20" si="7">SUM(G18,G19)</f>
        <v>-1705464.5100655621</v>
      </c>
      <c r="H20" s="192">
        <f t="shared" si="7"/>
        <v>-1705464.5100655619</v>
      </c>
      <c r="I20" s="192">
        <f t="shared" si="7"/>
        <v>-1705464.5100655619</v>
      </c>
      <c r="J20" s="192">
        <f t="shared" si="7"/>
        <v>-1705464.5100655621</v>
      </c>
      <c r="K20" s="192">
        <f t="shared" si="7"/>
        <v>-1705464.5100655621</v>
      </c>
      <c r="L20" s="192">
        <f t="shared" si="7"/>
        <v>-1705464.5100655616</v>
      </c>
      <c r="M20" s="192">
        <f t="shared" si="7"/>
        <v>-1705464.5100655616</v>
      </c>
      <c r="N20" s="192">
        <f t="shared" si="7"/>
        <v>-1705464.5100655621</v>
      </c>
      <c r="O20" s="192">
        <f t="shared" si="7"/>
        <v>-1705464.5100655621</v>
      </c>
      <c r="P20" s="192">
        <f t="shared" si="7"/>
        <v>-1705464.5100655621</v>
      </c>
      <c r="Q20" s="192">
        <f t="shared" si="7"/>
        <v>-1705464.5100655621</v>
      </c>
      <c r="R20" s="192">
        <f t="shared" si="7"/>
        <v>-1705464.5100655619</v>
      </c>
      <c r="S20" s="192">
        <f t="shared" si="7"/>
        <v>-1705464.5100655621</v>
      </c>
      <c r="T20" s="192">
        <f t="shared" si="7"/>
        <v>-1705464.5100655621</v>
      </c>
      <c r="U20" s="192">
        <f t="shared" si="7"/>
        <v>0</v>
      </c>
      <c r="V20" s="192">
        <f t="shared" si="7"/>
        <v>0</v>
      </c>
      <c r="W20" s="192">
        <f t="shared" si="7"/>
        <v>0</v>
      </c>
      <c r="X20" s="192">
        <f t="shared" si="7"/>
        <v>0</v>
      </c>
      <c r="Y20" s="192">
        <f t="shared" si="7"/>
        <v>0</v>
      </c>
      <c r="Z20" s="192">
        <f t="shared" si="7"/>
        <v>0</v>
      </c>
      <c r="AA20" s="192">
        <f t="shared" si="7"/>
        <v>0</v>
      </c>
      <c r="AB20" s="192">
        <f t="shared" si="7"/>
        <v>0</v>
      </c>
      <c r="AC20" s="192">
        <f t="shared" si="7"/>
        <v>0</v>
      </c>
      <c r="AD20" s="192">
        <f t="shared" si="7"/>
        <v>0</v>
      </c>
      <c r="AE20" s="192">
        <f t="shared" si="7"/>
        <v>0</v>
      </c>
      <c r="AF20" s="192">
        <f t="shared" si="7"/>
        <v>0</v>
      </c>
      <c r="AG20" s="192">
        <f t="shared" si="7"/>
        <v>0</v>
      </c>
      <c r="AH20" s="192">
        <f t="shared" si="7"/>
        <v>0</v>
      </c>
      <c r="AI20" s="192">
        <f t="shared" si="7"/>
        <v>0</v>
      </c>
      <c r="AJ20" s="192">
        <f t="shared" si="7"/>
        <v>0</v>
      </c>
      <c r="AK20" s="192">
        <f t="shared" si="7"/>
        <v>0</v>
      </c>
      <c r="AL20" s="192">
        <f t="shared" si="7"/>
        <v>0</v>
      </c>
      <c r="AM20" s="192">
        <f t="shared" si="7"/>
        <v>0</v>
      </c>
      <c r="AN20" s="192">
        <f t="shared" si="7"/>
        <v>0</v>
      </c>
      <c r="AO20" s="192">
        <f t="shared" si="7"/>
        <v>0</v>
      </c>
      <c r="AP20" s="192">
        <f t="shared" si="7"/>
        <v>0</v>
      </c>
      <c r="AQ20" s="192">
        <f t="shared" si="7"/>
        <v>0</v>
      </c>
      <c r="AR20" s="192">
        <f t="shared" si="7"/>
        <v>0</v>
      </c>
      <c r="AS20" s="193">
        <f t="shared" si="7"/>
        <v>0</v>
      </c>
    </row>
    <row r="21" spans="1:45">
      <c r="A21" s="72"/>
      <c r="B21" s="53"/>
      <c r="C21" s="53"/>
      <c r="D21" s="53"/>
      <c r="E21" s="192"/>
      <c r="F21" s="192"/>
      <c r="G21" s="192"/>
      <c r="H21" s="192"/>
      <c r="I21" s="192"/>
      <c r="J21" s="192"/>
      <c r="K21" s="192"/>
      <c r="L21" s="192"/>
      <c r="M21" s="192"/>
      <c r="N21" s="192"/>
      <c r="O21" s="192"/>
      <c r="P21" s="192"/>
      <c r="Q21" s="192"/>
      <c r="R21" s="192"/>
      <c r="S21" s="192"/>
      <c r="T21" s="192"/>
      <c r="U21" s="192"/>
      <c r="V21" s="192"/>
      <c r="W21" s="192"/>
      <c r="X21" s="192"/>
      <c r="Y21" s="192"/>
      <c r="Z21" s="192"/>
      <c r="AA21" s="192"/>
      <c r="AB21" s="192"/>
      <c r="AC21" s="192"/>
      <c r="AD21" s="192"/>
      <c r="AE21" s="192"/>
      <c r="AF21" s="192"/>
      <c r="AG21" s="192"/>
      <c r="AH21" s="192"/>
      <c r="AI21" s="192"/>
      <c r="AJ21" s="192"/>
      <c r="AK21" s="192"/>
      <c r="AL21" s="192"/>
      <c r="AM21" s="192"/>
      <c r="AN21" s="192"/>
      <c r="AO21" s="192"/>
      <c r="AP21" s="192"/>
      <c r="AQ21" s="192"/>
      <c r="AR21" s="192"/>
      <c r="AS21" s="193"/>
    </row>
    <row r="22" spans="1:45">
      <c r="A22" s="53"/>
      <c r="B22" s="53" t="s">
        <v>198</v>
      </c>
      <c r="C22" s="53" t="s">
        <v>185</v>
      </c>
      <c r="D22" s="53"/>
      <c r="E22" s="192"/>
      <c r="F22" s="192">
        <f>F15+F17+F18</f>
        <v>-4866058.5840611383</v>
      </c>
      <c r="G22" s="192">
        <f t="shared" ref="G22:AS22" si="8">G15+G17+G18</f>
        <v>-4862627.3065241445</v>
      </c>
      <c r="H22" s="192">
        <f t="shared" si="8"/>
        <v>-4857708.9340424184</v>
      </c>
      <c r="I22" s="192">
        <f t="shared" si="8"/>
        <v>-4851209.3789027091</v>
      </c>
      <c r="J22" s="192">
        <f t="shared" si="8"/>
        <v>-5373711.3283241056</v>
      </c>
      <c r="K22" s="192">
        <f t="shared" si="8"/>
        <v>-4833065.1134366235</v>
      </c>
      <c r="L22" s="192">
        <f t="shared" si="8"/>
        <v>-4821206.19515773</v>
      </c>
      <c r="M22" s="192">
        <f t="shared" si="8"/>
        <v>-4807337.1303888494</v>
      </c>
      <c r="N22" s="192">
        <f t="shared" si="8"/>
        <v>-4791336.1537968442</v>
      </c>
      <c r="O22" s="192">
        <f t="shared" si="8"/>
        <v>-5344770.0806089053</v>
      </c>
      <c r="P22" s="192">
        <f t="shared" si="8"/>
        <v>-4752419.0429870738</v>
      </c>
      <c r="Q22" s="192">
        <f t="shared" si="8"/>
        <v>-4729226.02553079</v>
      </c>
      <c r="R22" s="192">
        <f t="shared" si="8"/>
        <v>-4703346.6296908278</v>
      </c>
      <c r="S22" s="192">
        <f t="shared" si="8"/>
        <v>-4674623.6356353397</v>
      </c>
      <c r="T22" s="192">
        <f t="shared" si="8"/>
        <v>-5258769.4843741758</v>
      </c>
      <c r="U22" s="192">
        <f t="shared" si="8"/>
        <v>0</v>
      </c>
      <c r="V22" s="192">
        <f t="shared" si="8"/>
        <v>0</v>
      </c>
      <c r="W22" s="192">
        <f t="shared" si="8"/>
        <v>0</v>
      </c>
      <c r="X22" s="192">
        <f t="shared" si="8"/>
        <v>0</v>
      </c>
      <c r="Y22" s="192">
        <f t="shared" si="8"/>
        <v>0</v>
      </c>
      <c r="Z22" s="192">
        <f t="shared" si="8"/>
        <v>0</v>
      </c>
      <c r="AA22" s="192">
        <f t="shared" si="8"/>
        <v>0</v>
      </c>
      <c r="AB22" s="192">
        <f t="shared" si="8"/>
        <v>0</v>
      </c>
      <c r="AC22" s="192">
        <f t="shared" si="8"/>
        <v>0</v>
      </c>
      <c r="AD22" s="192">
        <f t="shared" si="8"/>
        <v>0</v>
      </c>
      <c r="AE22" s="192">
        <f t="shared" si="8"/>
        <v>0</v>
      </c>
      <c r="AF22" s="192">
        <f t="shared" si="8"/>
        <v>0</v>
      </c>
      <c r="AG22" s="192">
        <f t="shared" si="8"/>
        <v>0</v>
      </c>
      <c r="AH22" s="192">
        <f t="shared" si="8"/>
        <v>0</v>
      </c>
      <c r="AI22" s="192">
        <f t="shared" si="8"/>
        <v>0</v>
      </c>
      <c r="AJ22" s="192">
        <f t="shared" si="8"/>
        <v>0</v>
      </c>
      <c r="AK22" s="192">
        <f t="shared" si="8"/>
        <v>0</v>
      </c>
      <c r="AL22" s="192">
        <f t="shared" si="8"/>
        <v>0</v>
      </c>
      <c r="AM22" s="192">
        <f t="shared" si="8"/>
        <v>0</v>
      </c>
      <c r="AN22" s="192">
        <f t="shared" si="8"/>
        <v>0</v>
      </c>
      <c r="AO22" s="192">
        <f t="shared" si="8"/>
        <v>0</v>
      </c>
      <c r="AP22" s="192">
        <f t="shared" si="8"/>
        <v>0</v>
      </c>
      <c r="AQ22" s="192">
        <f t="shared" si="8"/>
        <v>0</v>
      </c>
      <c r="AR22" s="192">
        <f t="shared" si="8"/>
        <v>0</v>
      </c>
      <c r="AS22" s="193">
        <f t="shared" si="8"/>
        <v>0</v>
      </c>
    </row>
    <row r="23" spans="1:45">
      <c r="A23" s="53"/>
      <c r="B23" s="53" t="s">
        <v>199</v>
      </c>
      <c r="C23" s="129" t="s">
        <v>185</v>
      </c>
      <c r="D23" s="53"/>
      <c r="E23" s="192"/>
      <c r="F23" s="192">
        <f t="shared" ref="F23:AS23" si="9">-tax*F22</f>
        <v>1216514.6460152846</v>
      </c>
      <c r="G23" s="192">
        <f t="shared" si="9"/>
        <v>1215656.8266310361</v>
      </c>
      <c r="H23" s="192">
        <f t="shared" si="9"/>
        <v>1214427.2335106046</v>
      </c>
      <c r="I23" s="192">
        <f t="shared" si="9"/>
        <v>1212802.3447256773</v>
      </c>
      <c r="J23" s="192">
        <f t="shared" si="9"/>
        <v>1343427.8320810264</v>
      </c>
      <c r="K23" s="192">
        <f t="shared" si="9"/>
        <v>1208266.2783591559</v>
      </c>
      <c r="L23" s="192">
        <f t="shared" si="9"/>
        <v>1205301.5487894325</v>
      </c>
      <c r="M23" s="192">
        <f t="shared" si="9"/>
        <v>1201834.2825972124</v>
      </c>
      <c r="N23" s="192">
        <f t="shared" si="9"/>
        <v>1197834.038449211</v>
      </c>
      <c r="O23" s="192">
        <f t="shared" si="9"/>
        <v>1336192.5201522263</v>
      </c>
      <c r="P23" s="192">
        <f t="shared" si="9"/>
        <v>1188104.7607467684</v>
      </c>
      <c r="Q23" s="192">
        <f t="shared" si="9"/>
        <v>1182306.5063826975</v>
      </c>
      <c r="R23" s="192">
        <f t="shared" si="9"/>
        <v>1175836.657422707</v>
      </c>
      <c r="S23" s="192">
        <f t="shared" si="9"/>
        <v>1168655.9089088349</v>
      </c>
      <c r="T23" s="192">
        <f t="shared" si="9"/>
        <v>1314692.3710935439</v>
      </c>
      <c r="U23" s="192">
        <f t="shared" si="9"/>
        <v>0</v>
      </c>
      <c r="V23" s="192">
        <f t="shared" si="9"/>
        <v>0</v>
      </c>
      <c r="W23" s="192">
        <f t="shared" si="9"/>
        <v>0</v>
      </c>
      <c r="X23" s="192">
        <f t="shared" si="9"/>
        <v>0</v>
      </c>
      <c r="Y23" s="192">
        <f t="shared" si="9"/>
        <v>0</v>
      </c>
      <c r="Z23" s="192">
        <f t="shared" si="9"/>
        <v>0</v>
      </c>
      <c r="AA23" s="192">
        <f t="shared" si="9"/>
        <v>0</v>
      </c>
      <c r="AB23" s="192">
        <f t="shared" si="9"/>
        <v>0</v>
      </c>
      <c r="AC23" s="192">
        <f t="shared" si="9"/>
        <v>0</v>
      </c>
      <c r="AD23" s="192">
        <f t="shared" si="9"/>
        <v>0</v>
      </c>
      <c r="AE23" s="192">
        <f t="shared" si="9"/>
        <v>0</v>
      </c>
      <c r="AF23" s="192">
        <f t="shared" si="9"/>
        <v>0</v>
      </c>
      <c r="AG23" s="192">
        <f t="shared" si="9"/>
        <v>0</v>
      </c>
      <c r="AH23" s="192">
        <f t="shared" si="9"/>
        <v>0</v>
      </c>
      <c r="AI23" s="192">
        <f t="shared" si="9"/>
        <v>0</v>
      </c>
      <c r="AJ23" s="192">
        <f t="shared" si="9"/>
        <v>0</v>
      </c>
      <c r="AK23" s="192">
        <f t="shared" si="9"/>
        <v>0</v>
      </c>
      <c r="AL23" s="192">
        <f t="shared" si="9"/>
        <v>0</v>
      </c>
      <c r="AM23" s="192">
        <f t="shared" si="9"/>
        <v>0</v>
      </c>
      <c r="AN23" s="192">
        <f t="shared" si="9"/>
        <v>0</v>
      </c>
      <c r="AO23" s="192">
        <f t="shared" si="9"/>
        <v>0</v>
      </c>
      <c r="AP23" s="192">
        <f t="shared" si="9"/>
        <v>0</v>
      </c>
      <c r="AQ23" s="192">
        <f t="shared" si="9"/>
        <v>0</v>
      </c>
      <c r="AR23" s="192">
        <f t="shared" si="9"/>
        <v>0</v>
      </c>
      <c r="AS23" s="193">
        <f t="shared" si="9"/>
        <v>0</v>
      </c>
    </row>
    <row r="24" spans="1:45">
      <c r="A24" s="72"/>
      <c r="B24" s="53"/>
      <c r="C24" s="53"/>
      <c r="D24" s="53"/>
      <c r="E24" s="192"/>
      <c r="F24" s="192"/>
      <c r="G24" s="192"/>
      <c r="H24" s="192"/>
      <c r="I24" s="192"/>
      <c r="J24" s="192"/>
      <c r="K24" s="192"/>
      <c r="L24" s="192"/>
      <c r="M24" s="192"/>
      <c r="N24" s="192"/>
      <c r="O24" s="192"/>
      <c r="P24" s="192"/>
      <c r="Q24" s="192"/>
      <c r="R24" s="192"/>
      <c r="S24" s="192"/>
      <c r="T24" s="192"/>
      <c r="U24" s="192"/>
      <c r="V24" s="192"/>
      <c r="W24" s="192"/>
      <c r="X24" s="192"/>
      <c r="Y24" s="192"/>
      <c r="Z24" s="192"/>
      <c r="AA24" s="192"/>
      <c r="AB24" s="192"/>
      <c r="AC24" s="192"/>
      <c r="AD24" s="192"/>
      <c r="AE24" s="192"/>
      <c r="AF24" s="192"/>
      <c r="AG24" s="192"/>
      <c r="AH24" s="192"/>
      <c r="AI24" s="192"/>
      <c r="AJ24" s="192"/>
      <c r="AK24" s="192"/>
      <c r="AL24" s="192"/>
      <c r="AM24" s="192"/>
      <c r="AN24" s="192"/>
      <c r="AO24" s="192"/>
      <c r="AP24" s="192"/>
      <c r="AQ24" s="192"/>
      <c r="AR24" s="192"/>
      <c r="AS24" s="193"/>
    </row>
    <row r="25" spans="1:45">
      <c r="A25" s="15"/>
      <c r="B25" s="15" t="s">
        <v>200</v>
      </c>
      <c r="C25" s="15" t="s">
        <v>185</v>
      </c>
      <c r="D25" s="15"/>
      <c r="E25" s="17"/>
      <c r="F25" s="17">
        <f>F15+F20+F23</f>
        <v>-2994723.3266802505</v>
      </c>
      <c r="G25" s="17">
        <f t="shared" ref="G25:AS25" si="10">G15+G20+G23</f>
        <v>-3033167.748003948</v>
      </c>
      <c r="H25" s="17">
        <f t="shared" si="10"/>
        <v>-3072547.74209292</v>
      </c>
      <c r="I25" s="17">
        <f t="shared" si="10"/>
        <v>-3112895.2878609174</v>
      </c>
      <c r="J25" s="17">
        <f t="shared" si="10"/>
        <v>-3552255.0726558827</v>
      </c>
      <c r="K25" s="17">
        <f t="shared" si="10"/>
        <v>-3196627.9003556352</v>
      </c>
      <c r="L25" s="17">
        <f t="shared" si="10"/>
        <v>-3240084.0749550965</v>
      </c>
      <c r="M25" s="17">
        <f t="shared" si="10"/>
        <v>-3284650.1578525007</v>
      </c>
      <c r="N25" s="17">
        <f t="shared" si="10"/>
        <v>-3330365.7009562645</v>
      </c>
      <c r="O25" s="17">
        <f t="shared" si="10"/>
        <v>-3806043.2353904657</v>
      </c>
      <c r="P25" s="17">
        <f t="shared" si="10"/>
        <v>-3425412.1509655053</v>
      </c>
      <c r="Q25" s="17">
        <f t="shared" si="10"/>
        <v>-3474831.1913542775</v>
      </c>
      <c r="R25" s="17">
        <f t="shared" si="10"/>
        <v>-3525576.1381293382</v>
      </c>
      <c r="S25" s="17">
        <f t="shared" si="10"/>
        <v>-3577696.1109255068</v>
      </c>
      <c r="T25" s="17">
        <f t="shared" si="10"/>
        <v>-4093150.8267343072</v>
      </c>
      <c r="U25" s="17">
        <f t="shared" si="10"/>
        <v>0</v>
      </c>
      <c r="V25" s="17">
        <f t="shared" si="10"/>
        <v>0</v>
      </c>
      <c r="W25" s="17">
        <f t="shared" si="10"/>
        <v>0</v>
      </c>
      <c r="X25" s="17">
        <f t="shared" si="10"/>
        <v>0</v>
      </c>
      <c r="Y25" s="17">
        <f t="shared" si="10"/>
        <v>0</v>
      </c>
      <c r="Z25" s="17">
        <f t="shared" si="10"/>
        <v>0</v>
      </c>
      <c r="AA25" s="17">
        <f t="shared" si="10"/>
        <v>0</v>
      </c>
      <c r="AB25" s="17">
        <f t="shared" si="10"/>
        <v>0</v>
      </c>
      <c r="AC25" s="17">
        <f t="shared" si="10"/>
        <v>0</v>
      </c>
      <c r="AD25" s="17">
        <f t="shared" si="10"/>
        <v>0</v>
      </c>
      <c r="AE25" s="17">
        <f t="shared" si="10"/>
        <v>0</v>
      </c>
      <c r="AF25" s="17">
        <f t="shared" si="10"/>
        <v>0</v>
      </c>
      <c r="AG25" s="17">
        <f t="shared" si="10"/>
        <v>0</v>
      </c>
      <c r="AH25" s="17">
        <f t="shared" si="10"/>
        <v>0</v>
      </c>
      <c r="AI25" s="17">
        <f t="shared" si="10"/>
        <v>0</v>
      </c>
      <c r="AJ25" s="17">
        <f t="shared" si="10"/>
        <v>0</v>
      </c>
      <c r="AK25" s="17">
        <f t="shared" si="10"/>
        <v>0</v>
      </c>
      <c r="AL25" s="17">
        <f t="shared" si="10"/>
        <v>0</v>
      </c>
      <c r="AM25" s="17">
        <f t="shared" si="10"/>
        <v>0</v>
      </c>
      <c r="AN25" s="17">
        <f t="shared" si="10"/>
        <v>0</v>
      </c>
      <c r="AO25" s="17">
        <f t="shared" si="10"/>
        <v>0</v>
      </c>
      <c r="AP25" s="17">
        <f t="shared" si="10"/>
        <v>0</v>
      </c>
      <c r="AQ25" s="17">
        <f t="shared" si="10"/>
        <v>0</v>
      </c>
      <c r="AR25" s="17">
        <f t="shared" si="10"/>
        <v>0</v>
      </c>
      <c r="AS25" s="18">
        <f t="shared" si="10"/>
        <v>0</v>
      </c>
    </row>
    <row r="26" spans="1:45">
      <c r="A26" s="6"/>
      <c r="B26" s="7"/>
      <c r="C26" s="7"/>
      <c r="D26" s="200"/>
      <c r="E26" s="2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48"/>
    </row>
    <row r="27" spans="1:45">
      <c r="A27" s="12"/>
      <c r="B27" s="53" t="s">
        <v>201</v>
      </c>
      <c r="C27" s="53" t="s">
        <v>185</v>
      </c>
      <c r="D27" s="212">
        <f>NPV(Input_Output!$D$68,E25:AS25)</f>
        <v>-19483076.200948823</v>
      </c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192"/>
      <c r="V27" s="192"/>
      <c r="W27" s="192"/>
      <c r="X27" s="192"/>
      <c r="Y27" s="192"/>
      <c r="Z27" s="192"/>
      <c r="AA27" s="192"/>
      <c r="AB27" s="19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  <c r="AM27" s="192"/>
      <c r="AN27" s="192"/>
      <c r="AO27" s="192"/>
      <c r="AP27" s="192"/>
      <c r="AQ27" s="192"/>
      <c r="AR27" s="192"/>
      <c r="AS27" s="193"/>
    </row>
    <row r="28" spans="1:45">
      <c r="A28" s="70"/>
      <c r="B28" s="71" t="s">
        <v>202</v>
      </c>
      <c r="C28" s="71" t="s">
        <v>187</v>
      </c>
      <c r="D28" s="202">
        <f>NPV(Input_Output!$D$68,F28:AS28)</f>
        <v>462343207.40250468</v>
      </c>
      <c r="E28" s="203"/>
      <c r="F28" s="203">
        <f>(1-tax)*F8</f>
        <v>77163200.914137155</v>
      </c>
      <c r="G28" s="203">
        <f t="shared" ref="G28:AS28" si="11">(1-tax)*G8</f>
        <v>77163200.914137155</v>
      </c>
      <c r="H28" s="203">
        <f t="shared" si="11"/>
        <v>77163200.914137155</v>
      </c>
      <c r="I28" s="203">
        <f t="shared" si="11"/>
        <v>77163200.914137155</v>
      </c>
      <c r="J28" s="203">
        <f t="shared" si="11"/>
        <v>77163200.914137155</v>
      </c>
      <c r="K28" s="203">
        <f t="shared" si="11"/>
        <v>77163200.914137155</v>
      </c>
      <c r="L28" s="203">
        <f t="shared" si="11"/>
        <v>77163200.914137155</v>
      </c>
      <c r="M28" s="203">
        <f t="shared" si="11"/>
        <v>77163200.914137155</v>
      </c>
      <c r="N28" s="203">
        <f t="shared" si="11"/>
        <v>77163200.914137155</v>
      </c>
      <c r="O28" s="203">
        <f t="shared" si="11"/>
        <v>77163200.914137155</v>
      </c>
      <c r="P28" s="203">
        <f t="shared" si="11"/>
        <v>77163200.914137155</v>
      </c>
      <c r="Q28" s="203">
        <f t="shared" si="11"/>
        <v>77163200.914137155</v>
      </c>
      <c r="R28" s="203">
        <f t="shared" si="11"/>
        <v>77163200.914137155</v>
      </c>
      <c r="S28" s="203">
        <f t="shared" si="11"/>
        <v>77163200.914137155</v>
      </c>
      <c r="T28" s="203">
        <f t="shared" si="11"/>
        <v>77163200.914137155</v>
      </c>
      <c r="U28" s="203">
        <f t="shared" si="11"/>
        <v>0</v>
      </c>
      <c r="V28" s="203">
        <f t="shared" si="11"/>
        <v>0</v>
      </c>
      <c r="W28" s="203">
        <f t="shared" si="11"/>
        <v>0</v>
      </c>
      <c r="X28" s="203">
        <f t="shared" si="11"/>
        <v>0</v>
      </c>
      <c r="Y28" s="203">
        <f t="shared" si="11"/>
        <v>0</v>
      </c>
      <c r="Z28" s="203">
        <f t="shared" si="11"/>
        <v>0</v>
      </c>
      <c r="AA28" s="203">
        <f t="shared" si="11"/>
        <v>0</v>
      </c>
      <c r="AB28" s="203">
        <f t="shared" si="11"/>
        <v>0</v>
      </c>
      <c r="AC28" s="203">
        <f t="shared" si="11"/>
        <v>0</v>
      </c>
      <c r="AD28" s="203">
        <f t="shared" si="11"/>
        <v>0</v>
      </c>
      <c r="AE28" s="203">
        <f t="shared" si="11"/>
        <v>0</v>
      </c>
      <c r="AF28" s="203">
        <f t="shared" si="11"/>
        <v>0</v>
      </c>
      <c r="AG28" s="203">
        <f t="shared" si="11"/>
        <v>0</v>
      </c>
      <c r="AH28" s="203">
        <f t="shared" si="11"/>
        <v>0</v>
      </c>
      <c r="AI28" s="203">
        <f t="shared" si="11"/>
        <v>0</v>
      </c>
      <c r="AJ28" s="203">
        <f t="shared" si="11"/>
        <v>0</v>
      </c>
      <c r="AK28" s="203">
        <f t="shared" si="11"/>
        <v>0</v>
      </c>
      <c r="AL28" s="203">
        <f t="shared" si="11"/>
        <v>0</v>
      </c>
      <c r="AM28" s="203">
        <f t="shared" si="11"/>
        <v>0</v>
      </c>
      <c r="AN28" s="203">
        <f t="shared" si="11"/>
        <v>0</v>
      </c>
      <c r="AO28" s="203">
        <f t="shared" si="11"/>
        <v>0</v>
      </c>
      <c r="AP28" s="203">
        <f t="shared" si="11"/>
        <v>0</v>
      </c>
      <c r="AQ28" s="203">
        <f t="shared" si="11"/>
        <v>0</v>
      </c>
      <c r="AR28" s="203">
        <f t="shared" si="11"/>
        <v>0</v>
      </c>
      <c r="AS28" s="203">
        <f t="shared" si="11"/>
        <v>0</v>
      </c>
    </row>
    <row r="30" spans="1:45">
      <c r="A30" s="58"/>
      <c r="B30" s="64" t="s">
        <v>203</v>
      </c>
      <c r="C30" s="204">
        <f>(1+contigency)*(capex_subsurface*1000000+capex_power*1000+heat_capex*1000)</f>
        <v>22127673.013417177</v>
      </c>
      <c r="D30" s="130" t="s">
        <v>212</v>
      </c>
      <c r="E30" s="205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177"/>
      <c r="AK30" s="177"/>
      <c r="AL30" s="177"/>
      <c r="AM30" s="177"/>
      <c r="AN30" s="177"/>
      <c r="AO30" s="177"/>
      <c r="AP30" s="177"/>
      <c r="AQ30" s="177"/>
      <c r="AR30" s="177"/>
      <c r="AS30" s="177"/>
    </row>
    <row r="31" spans="1:45">
      <c r="A31" s="58"/>
      <c r="B31" s="72" t="s">
        <v>204</v>
      </c>
      <c r="C31" s="206">
        <f>(1-tax)*loan_rate*debt_share+equity_share*equity_return</f>
        <v>5.9000000000000004E-2</v>
      </c>
      <c r="D31" s="54"/>
      <c r="E31" s="58"/>
      <c r="F31" s="58"/>
      <c r="G31" s="207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</row>
    <row r="32" spans="1:45">
      <c r="A32" s="58"/>
      <c r="B32" s="80" t="s">
        <v>205</v>
      </c>
      <c r="C32" s="208">
        <f>C30</f>
        <v>22127673.013417177</v>
      </c>
      <c r="D32" s="54" t="s">
        <v>212</v>
      </c>
      <c r="E32" s="209"/>
      <c r="F32" s="58"/>
      <c r="G32" s="207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</row>
    <row r="33" spans="2:8">
      <c r="B33" s="80" t="s">
        <v>206</v>
      </c>
      <c r="C33" s="208">
        <v>0</v>
      </c>
      <c r="D33" s="54" t="s">
        <v>212</v>
      </c>
      <c r="E33"/>
      <c r="F33" s="56"/>
      <c r="G33"/>
      <c r="H33"/>
    </row>
    <row r="34" spans="2:8">
      <c r="B34" s="80" t="s">
        <v>207</v>
      </c>
      <c r="C34" s="208">
        <f>(C33*tax)/(1+CFpower!C31)</f>
        <v>0</v>
      </c>
      <c r="D34" s="54" t="s">
        <v>212</v>
      </c>
      <c r="E34"/>
      <c r="F34" s="57"/>
      <c r="G34" s="5"/>
      <c r="H34" s="4"/>
    </row>
    <row r="35" spans="2:8">
      <c r="B35" s="73" t="s">
        <v>208</v>
      </c>
      <c r="C35" s="192">
        <f>C30*debt_share-C34</f>
        <v>17702138.410733741</v>
      </c>
      <c r="D35" s="54" t="s">
        <v>212</v>
      </c>
      <c r="E35" s="58"/>
      <c r="F35" s="58"/>
      <c r="G35" s="58"/>
      <c r="H35" s="58"/>
    </row>
    <row r="36" spans="2:8">
      <c r="B36" s="74" t="s">
        <v>209</v>
      </c>
      <c r="C36" s="197">
        <f>equity_share*C30</f>
        <v>4425534.6026834352</v>
      </c>
      <c r="D36" s="70" t="s">
        <v>212</v>
      </c>
      <c r="E36" s="58"/>
      <c r="F36" s="58"/>
      <c r="G36" s="58"/>
      <c r="H36" s="58"/>
    </row>
    <row r="37" spans="2:8">
      <c r="B37" s="58"/>
      <c r="C37" s="58"/>
      <c r="D37" s="58"/>
      <c r="E37" s="58"/>
      <c r="F37" s="58"/>
      <c r="G37" s="58"/>
      <c r="H37" s="58"/>
    </row>
    <row r="38" spans="2:8">
      <c r="B38" s="58"/>
      <c r="C38" s="210"/>
      <c r="D38" s="58"/>
      <c r="E38" s="58"/>
      <c r="F38" s="58"/>
      <c r="G38" s="58"/>
      <c r="H38" s="58"/>
    </row>
    <row r="39" spans="2:8">
      <c r="B39" s="58"/>
      <c r="C39" s="58"/>
      <c r="D39" s="58"/>
      <c r="E39" s="58"/>
      <c r="F39" s="58"/>
      <c r="G39" s="211"/>
      <c r="H39" s="58"/>
    </row>
    <row r="40" spans="2:8">
      <c r="B40" s="58"/>
      <c r="C40" s="58"/>
      <c r="D40" s="8"/>
      <c r="E40" s="58"/>
      <c r="F40" s="58"/>
      <c r="G40" s="58"/>
      <c r="H40" s="58"/>
    </row>
    <row r="41" spans="2:8">
      <c r="B41" s="58"/>
      <c r="C41" s="58"/>
      <c r="D41" s="58"/>
      <c r="E41" s="58"/>
      <c r="F41" s="58"/>
      <c r="G41" s="211"/>
      <c r="H41" s="58"/>
    </row>
    <row r="42" spans="2:8">
      <c r="B42" s="58"/>
      <c r="C42" s="58"/>
      <c r="D42" s="58"/>
      <c r="E42" s="58"/>
      <c r="F42" s="58"/>
      <c r="G42" s="58"/>
      <c r="H42" s="58"/>
    </row>
    <row r="43" spans="2:8">
      <c r="B43" s="58"/>
      <c r="C43" s="58"/>
      <c r="D43" s="58"/>
      <c r="E43" s="58"/>
      <c r="F43" s="58"/>
      <c r="G43" s="58"/>
      <c r="H43" s="58"/>
    </row>
    <row r="44" spans="2:8">
      <c r="B44" s="58"/>
      <c r="C44" s="58"/>
      <c r="D44" s="58"/>
      <c r="E44" s="58"/>
      <c r="F44" s="58"/>
      <c r="G44" s="58"/>
      <c r="H44" s="58"/>
    </row>
    <row r="45" spans="2:8">
      <c r="B45" s="58"/>
      <c r="C45" s="58"/>
      <c r="D45" s="58"/>
      <c r="E45" s="58"/>
      <c r="F45" s="58"/>
      <c r="G45" s="58"/>
      <c r="H45" s="58"/>
    </row>
    <row r="46" spans="2:8">
      <c r="B46" s="58"/>
      <c r="C46" s="58"/>
      <c r="D46" s="58"/>
      <c r="E46" s="58"/>
      <c r="F46" s="58"/>
      <c r="G46" s="58"/>
      <c r="H46" s="58"/>
    </row>
    <row r="47" spans="2:8">
      <c r="B47" s="58"/>
      <c r="C47" s="58"/>
      <c r="D47" s="58"/>
      <c r="E47" s="58"/>
      <c r="F47" s="58"/>
      <c r="G47" s="58"/>
      <c r="H47" s="58"/>
    </row>
    <row r="48" spans="2:8">
      <c r="B48" s="58"/>
      <c r="C48" s="58"/>
      <c r="D48" s="58"/>
      <c r="E48" s="58"/>
      <c r="F48" s="58"/>
      <c r="G48" s="58"/>
      <c r="H48" s="58"/>
    </row>
    <row r="49" spans="2:5">
      <c r="B49" s="58"/>
      <c r="C49" s="58"/>
      <c r="D49" s="58"/>
      <c r="E49" s="58"/>
    </row>
  </sheetData>
  <pageMargins left="0.7" right="0.7" top="0.75" bottom="0.75" header="0.3" footer="0.3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Team Document" ma:contentTypeID="0x010100A35317DCC28344A7B82488658A034A5C010018BBC3A7CD471640A75CBAB0A0BFD4AC" ma:contentTypeVersion="14" ma:contentTypeDescription=" " ma:contentTypeScope="" ma:versionID="b999f5e80afbfcffa55cb0e41a3b0ebe">
  <xsd:schema xmlns:xsd="http://www.w3.org/2001/XMLSchema" xmlns:xs="http://www.w3.org/2001/XMLSchema" xmlns:p="http://schemas.microsoft.com/office/2006/metadata/properties" xmlns:ns2="f8f8be17-1437-40b6-a297-5e17a7038c21" xmlns:ns3="2f6a910d-138e-42c1-8e8a-320c1b7cf3f7" xmlns:ns5="fb5192b3-a07b-416d-a4f1-ca7e034dfaa2" targetNamespace="http://schemas.microsoft.com/office/2006/metadata/properties" ma:root="true" ma:fieldsID="960d15caf1896322d2806fa95d333e91" ns2:_="" ns3:_="" ns5:_="">
    <xsd:import namespace="f8f8be17-1437-40b6-a297-5e17a7038c21"/>
    <xsd:import namespace="2f6a910d-138e-42c1-8e8a-320c1b7cf3f7"/>
    <xsd:import namespace="fb5192b3-a07b-416d-a4f1-ca7e034dfaa2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TNOC_ClusterName" minOccurs="0"/>
                <xsd:element ref="ns3:TNOC_ClusterId" minOccurs="0"/>
                <xsd:element ref="ns2:h15fbb78f4cb41d290e72f301ea2865f" minOccurs="0"/>
                <xsd:element ref="ns2:TaxCatchAll" minOccurs="0"/>
                <xsd:element ref="ns2:TaxCatchAllLabel" minOccurs="0"/>
                <xsd:element ref="ns2:n2a7a23bcc2241cb9261f9a914c7c1bb" minOccurs="0"/>
                <xsd:element ref="ns2:lca20d149a844688b6abf34073d5c21d" minOccurs="0"/>
                <xsd:element ref="ns2:cf581d8792c646118aad2c2c4ecdfa8c" minOccurs="0"/>
                <xsd:element ref="ns2:bac4ab11065f4f6c809c820c57e320e5" minOccurs="0"/>
                <xsd:element ref="ns5:MediaServiceMetadata" minOccurs="0"/>
                <xsd:element ref="ns5:MediaServiceFastMetadata" minOccurs="0"/>
                <xsd:element ref="ns5:MediaServiceAutoKeyPoints" minOccurs="0"/>
                <xsd:element ref="ns5:MediaServiceKeyPoints" minOccurs="0"/>
                <xsd:element ref="ns5:lcf76f155ced4ddcb4097134ff3c332f" minOccurs="0"/>
                <xsd:element ref="ns5:MediaServiceGenerationTime" minOccurs="0"/>
                <xsd:element ref="ns5:MediaServiceEventHashCode" minOccurs="0"/>
                <xsd:element ref="ns5:MediaServiceOCR" minOccurs="0"/>
                <xsd:element ref="ns5:MediaServiceDateTaken" minOccurs="0"/>
                <xsd:element ref="ns5:MediaServiceObjectDetectorVersions" minOccurs="0"/>
                <xsd:element ref="ns5:MediaServiceSearchProperties" minOccurs="0"/>
                <xsd:element ref="ns5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f8be17-1437-40b6-a297-5e17a7038c21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h15fbb78f4cb41d290e72f301ea2865f" ma:index="13" nillable="true" ma:taxonomy="true" ma:internalName="h15fbb78f4cb41d290e72f301ea2865f" ma:taxonomyFieldName="TNOC_ClusterType" ma:displayName="Cluster type" ma:default="1;#Project|fa11c4c9-105f-402c-bb40-9a56b4989397" ma:fieldId="{115fbb78-f4cb-41d2-90e7-2f301ea2865f}" ma:sspId="7378aa68-586f-4892-bb77-0985b40f41a6" ma:termSetId="e7feef8e-5ede-44cd-b7d5-7ed7dacef0b4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4" nillable="true" ma:displayName="Taxonomy Catch All Column" ma:hidden="true" ma:list="{d05af3ed-b872-4816-aafd-217295d03c0b}" ma:internalName="TaxCatchAll" ma:showField="CatchAllData" ma:web="f8f8be17-1437-40b6-a297-5e17a7038c2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5" nillable="true" ma:displayName="Taxonomy Catch All Column1" ma:hidden="true" ma:list="{d05af3ed-b872-4816-aafd-217295d03c0b}" ma:internalName="TaxCatchAllLabel" ma:readOnly="true" ma:showField="CatchAllDataLabel" ma:web="f8f8be17-1437-40b6-a297-5e17a7038c2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n2a7a23bcc2241cb9261f9a914c7c1bb" ma:index="17" nillable="true" ma:taxonomy="true" ma:internalName="n2a7a23bcc2241cb9261f9a914c7c1bb" ma:taxonomyFieldName="TNOC_DocumentClassification" ma:displayName="Document classification" ma:default="5;#TNO Internal|1a23c89f-ef54-4907-86fd-8242403ff722" ma:fieldId="{72a7a23b-cc22-41cb-9261-f9a914c7c1bb}" ma:sspId="7378aa68-586f-4892-bb77-0985b40f41a6" ma:termSetId="ff8f31fd-7572-41dc-9fe4-bd4c6d280f3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lca20d149a844688b6abf34073d5c21d" ma:index="19" nillable="true" ma:taxonomy="true" ma:internalName="lca20d149a844688b6abf34073d5c21d" ma:taxonomyFieldName="TNOC_DocumentType" ma:displayName="Document type" ma:fieldId="{5ca20d14-9a84-4688-b6ab-f34073d5c21d}" ma:sspId="7378aa68-586f-4892-bb77-0985b40f41a6" ma:termSetId="e8a13a9e-c4f3-4184-b8d9-8210abad494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f581d8792c646118aad2c2c4ecdfa8c" ma:index="22" nillable="true" ma:taxonomy="true" ma:internalName="cf581d8792c646118aad2c2c4ecdfa8c" ma:taxonomyFieldName="TNOC_DocumentSetType" ma:displayName="Document set type" ma:readOnly="false" ma:fieldId="{cf581d87-92c6-4611-8aad-2c2c4ecdfa8c}" ma:sspId="7378aa68-586f-4892-bb77-0985b40f41a6" ma:termSetId="a8d4306b-62bf-468f-9587-ff078c86432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ac4ab11065f4f6c809c820c57e320e5" ma:index="24" nillable="true" ma:taxonomy="true" ma:internalName="bac4ab11065f4f6c809c820c57e320e5" ma:taxonomyFieldName="TNOC_DocumentCategory" ma:displayName="Document category" ma:fieldId="{bac4ab11-065f-4f6c-809c-820c57e320e5}" ma:sspId="7378aa68-586f-4892-bb77-0985b40f41a6" ma:termSetId="94d42b6a-4155-4fa6-95e9-087bc306ceb3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6a910d-138e-42c1-8e8a-320c1b7cf3f7" elementFormDefault="qualified">
    <xsd:import namespace="http://schemas.microsoft.com/office/2006/documentManagement/types"/>
    <xsd:import namespace="http://schemas.microsoft.com/office/infopath/2007/PartnerControls"/>
    <xsd:element name="TNOC_ClusterName" ma:index="11" nillable="true" ma:displayName="Cluster name" ma:default="Geothermal Atlas for Africa SMO" ma:internalName="TNOC_ClusterName">
      <xsd:simpleType>
        <xsd:restriction base="dms:Text">
          <xsd:maxLength value="255"/>
        </xsd:restriction>
      </xsd:simpleType>
    </xsd:element>
    <xsd:element name="TNOC_ClusterId" ma:index="12" nillable="true" ma:displayName="Cluster ID" ma:default="060.49402" ma:internalName="TNOC_ClusterId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5192b3-a07b-416d-a4f1-ca7e034dfa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6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7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2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31" nillable="true" ma:taxonomy="true" ma:internalName="lcf76f155ced4ddcb4097134ff3c332f" ma:taxonomyFieldName="MediaServiceImageTags" ma:displayName="Image Tags" ma:readOnly="false" ma:fieldId="{5cf76f15-5ced-4ddc-b409-7134ff3c332f}" ma:taxonomyMulti="true" ma:sspId="7378aa68-586f-4892-bb77-0985b40f41a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3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3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3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3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3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21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NOC_ClusterName xmlns="2f6a910d-138e-42c1-8e8a-320c1b7cf3f7">ADNOC-Geothermal-2022</TNOC_ClusterName>
    <TNOC_ClusterId xmlns="2f6a910d-138e-42c1-8e8a-320c1b7cf3f7">060.53605</TNOC_ClusterId>
    <lca20d149a844688b6abf34073d5c21d xmlns="f8f8be17-1437-40b6-a297-5e17a7038c21">
      <Terms xmlns="http://schemas.microsoft.com/office/infopath/2007/PartnerControls"/>
    </lca20d149a844688b6abf34073d5c21d>
    <bac4ab11065f4f6c809c820c57e320e5 xmlns="f8f8be17-1437-40b6-a297-5e17a7038c21">
      <Terms xmlns="http://schemas.microsoft.com/office/infopath/2007/PartnerControls"/>
    </bac4ab11065f4f6c809c820c57e320e5>
    <cf581d8792c646118aad2c2c4ecdfa8c xmlns="f8f8be17-1437-40b6-a297-5e17a7038c21">
      <Terms xmlns="http://schemas.microsoft.com/office/infopath/2007/PartnerControls"/>
    </cf581d8792c646118aad2c2c4ecdfa8c>
    <_dlc_DocId xmlns="f8f8be17-1437-40b6-a297-5e17a7038c21">PZ6YFWU3DFPK-70700639-37824</_dlc_DocId>
    <TaxCatchAll xmlns="f8f8be17-1437-40b6-a297-5e17a7038c21">
      <Value>5</Value>
      <Value>1</Value>
    </TaxCatchAll>
    <n2a7a23bcc2241cb9261f9a914c7c1bb xmlns="f8f8be17-1437-40b6-a297-5e17a7038c21">
      <Terms xmlns="http://schemas.microsoft.com/office/infopath/2007/PartnerControls">
        <TermInfo xmlns="http://schemas.microsoft.com/office/infopath/2007/PartnerControls">
          <TermName xmlns="http://schemas.microsoft.com/office/infopath/2007/PartnerControls">TNO Internal</TermName>
          <TermId xmlns="http://schemas.microsoft.com/office/infopath/2007/PartnerControls">1a23c89f-ef54-4907-86fd-8242403ff722</TermId>
        </TermInfo>
      </Terms>
    </n2a7a23bcc2241cb9261f9a914c7c1bb>
    <_dlc_DocIdUrl xmlns="f8f8be17-1437-40b6-a297-5e17a7038c21">
      <Url>https://365tno.sharepoint.com/teams/P060.49402/_layouts/15/DocIdRedir.aspx?ID=PZ6YFWU3DFPK-70700639-37824</Url>
      <Description>PZ6YFWU3DFPK-70700639-37824</Description>
    </_dlc_DocIdUrl>
    <h15fbb78f4cb41d290e72f301ea2865f xmlns="f8f8be17-1437-40b6-a297-5e17a7038c21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Project</TermName>
          <TermId xmlns="http://schemas.microsoft.com/office/infopath/2007/PartnerControls">fa11c4c9-105f-402c-bb40-9a56b4989397</TermId>
        </TermInfo>
      </Terms>
    </h15fbb78f4cb41d290e72f301ea2865f>
    <lcf76f155ced4ddcb4097134ff3c332f xmlns="fb5192b3-a07b-416d-a4f1-ca7e034dfaa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D5A4D61-03C4-4510-B24D-7E3B68755E8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B8CC264-EAEC-422F-8239-ACB4866AC6C9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32645189-AA25-44B6-8D0A-5F43042CB9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8f8be17-1437-40b6-a297-5e17a7038c21"/>
    <ds:schemaRef ds:uri="2f6a910d-138e-42c1-8e8a-320c1b7cf3f7"/>
    <ds:schemaRef ds:uri="fb5192b3-a07b-416d-a4f1-ca7e034dfa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2007F86-0542-4F82-9057-897818A1DF3E}">
  <ds:schemaRefs>
    <ds:schemaRef ds:uri="http://purl.org/dc/elements/1.1/"/>
    <ds:schemaRef ds:uri="fb5192b3-a07b-416d-a4f1-ca7e034dfaa2"/>
    <ds:schemaRef ds:uri="f8f8be17-1437-40b6-a297-5e17a7038c21"/>
    <ds:schemaRef ds:uri="http://schemas.microsoft.com/office/2006/metadata/properties"/>
    <ds:schemaRef ds:uri="http://purl.org/dc/terms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2f6a910d-138e-42c1-8e8a-320c1b7cf3f7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61</vt:i4>
      </vt:variant>
    </vt:vector>
  </HeadingPairs>
  <TitlesOfParts>
    <vt:vector size="66" baseType="lpstr">
      <vt:lpstr>Colofon</vt:lpstr>
      <vt:lpstr>Input_Output</vt:lpstr>
      <vt:lpstr>Sheet1</vt:lpstr>
      <vt:lpstr>CFpower</vt:lpstr>
      <vt:lpstr>CFheat</vt:lpstr>
      <vt:lpstr>capex_power</vt:lpstr>
      <vt:lpstr>capex_subsurface</vt:lpstr>
      <vt:lpstr>chiller_parasitic</vt:lpstr>
      <vt:lpstr>coheat_feedin</vt:lpstr>
      <vt:lpstr>coheatloadhours</vt:lpstr>
      <vt:lpstr>contigency</vt:lpstr>
      <vt:lpstr>cop</vt:lpstr>
      <vt:lpstr>Cpwater</vt:lpstr>
      <vt:lpstr>debt_share</vt:lpstr>
      <vt:lpstr>depreciation_time</vt:lpstr>
      <vt:lpstr>depth</vt:lpstr>
      <vt:lpstr>DistanceToGrid</vt:lpstr>
      <vt:lpstr>DrillCosts</vt:lpstr>
      <vt:lpstr>Efficiency</vt:lpstr>
      <vt:lpstr>efficiencydirectheat</vt:lpstr>
      <vt:lpstr>electricity_buy</vt:lpstr>
      <vt:lpstr>equity_return</vt:lpstr>
      <vt:lpstr>equity_share</vt:lpstr>
      <vt:lpstr>etaESP</vt:lpstr>
      <vt:lpstr>existingwell</vt:lpstr>
      <vt:lpstr>fixedOMrate</vt:lpstr>
      <vt:lpstr>flowrate</vt:lpstr>
      <vt:lpstr>GridConVar</vt:lpstr>
      <vt:lpstr>GridInvest</vt:lpstr>
      <vt:lpstr>heat_capex</vt:lpstr>
      <vt:lpstr>heat_mwth</vt:lpstr>
      <vt:lpstr>heat_mwthgross</vt:lpstr>
      <vt:lpstr>heat_OMfixed</vt:lpstr>
      <vt:lpstr>heat_OMvar</vt:lpstr>
      <vt:lpstr>heat_power</vt:lpstr>
      <vt:lpstr>inflation</vt:lpstr>
      <vt:lpstr>lifetime</vt:lpstr>
      <vt:lpstr>loan_rate</vt:lpstr>
      <vt:lpstr>nrofwells</vt:lpstr>
      <vt:lpstr>ooperation_choice</vt:lpstr>
      <vt:lpstr>PlantInvest</vt:lpstr>
      <vt:lpstr>Power</vt:lpstr>
      <vt:lpstr>power_feedin</vt:lpstr>
      <vt:lpstr>power_loadhours</vt:lpstr>
      <vt:lpstr>power_OMfixed</vt:lpstr>
      <vt:lpstr>power_OMvar</vt:lpstr>
      <vt:lpstr>Input_Output!Print_Area</vt:lpstr>
      <vt:lpstr>CFpower!Print_Titles</vt:lpstr>
      <vt:lpstr>pumpcost2</vt:lpstr>
      <vt:lpstr>pumps</vt:lpstr>
      <vt:lpstr>Rhowater</vt:lpstr>
      <vt:lpstr>salinity</vt:lpstr>
      <vt:lpstr>StimCosts</vt:lpstr>
      <vt:lpstr>Tambient</vt:lpstr>
      <vt:lpstr>tax</vt:lpstr>
      <vt:lpstr>term_loan</vt:lpstr>
      <vt:lpstr>tgrad</vt:lpstr>
      <vt:lpstr>thermalpower_power</vt:lpstr>
      <vt:lpstr>toutlet</vt:lpstr>
      <vt:lpstr>Treinject</vt:lpstr>
      <vt:lpstr>Ts</vt:lpstr>
      <vt:lpstr>tvd</vt:lpstr>
      <vt:lpstr>Tx</vt:lpstr>
      <vt:lpstr>variable_OM_pumps</vt:lpstr>
      <vt:lpstr>well_pump</vt:lpstr>
      <vt:lpstr>wellcostscaling</vt:lpstr>
    </vt:vector>
  </TitlesOfParts>
  <Manager/>
  <Company>ECN Beleidsstudies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X. van Tilburg</dc:creator>
  <cp:keywords/>
  <dc:description/>
  <cp:lastModifiedBy>Wees, J.D.A.M. (Jan Diederik) van</cp:lastModifiedBy>
  <cp:revision/>
  <dcterms:created xsi:type="dcterms:W3CDTF">2003-03-17T12:29:30Z</dcterms:created>
  <dcterms:modified xsi:type="dcterms:W3CDTF">2025-01-24T17:12:53Z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0x010100A35317DCC28344A7B82488658A034A5C010018BBC3A7CD471640A75CBAB0A0BFD4AC</vt:lpwstr>
  </property>
  <property fmtid="{D5CDD505-2E9C-101B-9397-08002B2CF9AE}" pid="3" name="TNOC_DocumentType">
    <vt:lpwstr/>
  </property>
  <property fmtid="{D5CDD505-2E9C-101B-9397-08002B2CF9AE}" pid="4" name="TNOC_DocumentCategory">
    <vt:lpwstr/>
  </property>
  <property fmtid="{D5CDD505-2E9C-101B-9397-08002B2CF9AE}" pid="5" name="_dlc_DocIdItemGuid">
    <vt:lpwstr>ad09f4ac-3192-458b-a8cb-a3079641318e</vt:lpwstr>
  </property>
  <property fmtid="{D5CDD505-2E9C-101B-9397-08002B2CF9AE}" pid="6" name="TNOC_ClusterType">
    <vt:lpwstr>1;#Project|fa11c4c9-105f-402c-bb40-9a56b4989397</vt:lpwstr>
  </property>
  <property fmtid="{D5CDD505-2E9C-101B-9397-08002B2CF9AE}" pid="7" name="TNOC_DocumentSetType">
    <vt:lpwstr/>
  </property>
  <property fmtid="{D5CDD505-2E9C-101B-9397-08002B2CF9AE}" pid="8" name="TNOC_DocumentClassification">
    <vt:lpwstr>5;#TNO Internal|1a23c89f-ef54-4907-86fd-8242403ff722</vt:lpwstr>
  </property>
  <property fmtid="{D5CDD505-2E9C-101B-9397-08002B2CF9AE}" pid="9" name="MediaServiceImageTags">
    <vt:lpwstr/>
  </property>
</Properties>
</file>